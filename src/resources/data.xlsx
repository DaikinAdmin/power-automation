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Khrustytska\Desktop\"/>
    </mc:Choice>
  </mc:AlternateContent>
  <xr:revisionPtr revIDLastSave="0" documentId="13_ncr:1_{A16E8965-9DB0-451E-8A84-FFF8729C1962}" xr6:coauthVersionLast="47" xr6:coauthVersionMax="47" xr10:uidLastSave="{00000000-0000-0000-0000-000000000000}"/>
  <bookViews>
    <workbookView xWindow="-108" yWindow="-108" windowWidth="23256" windowHeight="12456" xr2:uid="{00000000-000D-0000-FFFF-FFFF00000000}"/>
  </bookViews>
  <sheets>
    <sheet name="Sheet1" sheetId="1" r:id="rId1"/>
  </sheets>
  <externalReferences>
    <externalReference r:id="rId2"/>
  </externalReferences>
  <definedNames>
    <definedName name="_xlnm._FilterDatabase" localSheetId="0" hidden="1">Sheet1!$A$1:$AX$113</definedName>
    <definedName name="_xlnm.Print_Area" localSheetId="0">Sheet1!$A$1:$D$47</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2" i="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<sst xmlns="http://schemas.openxmlformats.org/spreadsheetml/2006/main" count="852" uniqueCount="291">
  <si>
    <t>Артикул</t>
  </si>
  <si>
    <t>Родительский артикул</t>
  </si>
  <si>
    <t>Артикул для отображения на сайте</t>
  </si>
  <si>
    <t>Название модификации (UA)</t>
  </si>
  <si>
    <t>Название (UA)</t>
  </si>
  <si>
    <t>Бренд</t>
  </si>
  <si>
    <t>Раздел</t>
  </si>
  <si>
    <t>Цена</t>
  </si>
  <si>
    <t>Старая цена</t>
  </si>
  <si>
    <t>Валюта</t>
  </si>
  <si>
    <t>Отображать</t>
  </si>
  <si>
    <t>Наличие</t>
  </si>
  <si>
    <t>Дополнительные разделы</t>
  </si>
  <si>
    <t>Фото</t>
  </si>
  <si>
    <t>Галерея</t>
  </si>
  <si>
    <t>Обзор 360</t>
  </si>
  <si>
    <t>Алиас</t>
  </si>
  <si>
    <t>Ссылка</t>
  </si>
  <si>
    <t>Дата добавления</t>
  </si>
  <si>
    <t>HTML title (UA)</t>
  </si>
  <si>
    <t>META keywords (UA)</t>
  </si>
  <si>
    <t>META description (UA)</t>
  </si>
  <si>
    <t>h1 заголовок (UA)</t>
  </si>
  <si>
    <t>Поставщик</t>
  </si>
  <si>
    <t>Иконки</t>
  </si>
  <si>
    <t>Скидка %</t>
  </si>
  <si>
    <t>Популярность</t>
  </si>
  <si>
    <t>Количество</t>
  </si>
  <si>
    <t>Описание товара (UA)</t>
  </si>
  <si>
    <t>Короткое описание (UA)</t>
  </si>
  <si>
    <t>Цвет</t>
  </si>
  <si>
    <t>Тип гарантии</t>
  </si>
  <si>
    <t>Гарантийный срок, мес.</t>
  </si>
  <si>
    <t>Дата и время окончания акции</t>
  </si>
  <si>
    <t>Текст акции (UA)</t>
  </si>
  <si>
    <t>Описание для маркетплейсов (UA)</t>
  </si>
  <si>
    <t>Выгружать на маркетплейсы</t>
  </si>
  <si>
    <t>Состояние товара</t>
  </si>
  <si>
    <t>Только для взрослых</t>
  </si>
  <si>
    <t>Код УКТ ВЭД</t>
  </si>
  <si>
    <t>«Оплата частями» ПриватБанка</t>
  </si>
  <si>
    <t>«Покупка частями» от monobank</t>
  </si>
  <si>
    <t>Уникальный код налога</t>
  </si>
  <si>
    <t>Штрихкод</t>
  </si>
  <si>
    <t>Код производителя товара (MPN)</t>
  </si>
  <si>
    <t>На складе для Prom</t>
  </si>
  <si>
    <t>Электронный товар</t>
  </si>
  <si>
    <t>0.00</t>
  </si>
  <si>
    <t>Да</t>
  </si>
  <si>
    <t>В наявності</t>
  </si>
  <si>
    <t>0</t>
  </si>
  <si>
    <t>Виробник</t>
  </si>
  <si>
    <t>Нет</t>
  </si>
  <si>
    <t>EUR</t>
  </si>
  <si>
    <t>2025-03-24 14:32:24</t>
  </si>
  <si>
    <t>2025-03-24 12:59:35</t>
  </si>
  <si>
    <t>2025-03-24 14:24:59</t>
  </si>
  <si>
    <t>2025-03-24 14:32:25</t>
  </si>
  <si>
    <t>2025-03-24 12:59:36</t>
  </si>
  <si>
    <t>2025-03-24 14:24:60</t>
  </si>
  <si>
    <t>2025-03-24 14:32:26</t>
  </si>
  <si>
    <t>2025-03-24 12:59:37</t>
  </si>
  <si>
    <t>2025-03-24 14:24:61</t>
  </si>
  <si>
    <t>2025-03-24 14:32:27</t>
  </si>
  <si>
    <t>2025-03-24 12:59:38</t>
  </si>
  <si>
    <t>2025-03-24 14:24:62</t>
  </si>
  <si>
    <t>2025-03-24 14:32:28</t>
  </si>
  <si>
    <t>2025-03-24 12:59:39</t>
  </si>
  <si>
    <t>2025-03-24 14:24:63</t>
  </si>
  <si>
    <t>2025-03-24 12:59:40</t>
  </si>
  <si>
    <t>2025-03-24 14:24:64</t>
  </si>
  <si>
    <t>2025-03-24 14:32:30</t>
  </si>
  <si>
    <t>2025-03-24 12:59:41</t>
  </si>
  <si>
    <t>2025-03-24 14:24:65</t>
  </si>
  <si>
    <t>2025-03-24 14:32:31</t>
  </si>
  <si>
    <t>Автоматичний вимикач 230/400V 6кА, 1-полюсний, C25A</t>
  </si>
  <si>
    <t>Модуль аналогового вводу Siemens SIMATIC ET 200SP AI 4x U/I 2 провідний - 6ES7134-6HD01-0BA1 має 4 аналогових входи (напруга/струм 2 провідний стандарт) і обробляє вхідні сигнали з напругою 24 В постійного струму. Модуль вводу AI 4x U/I 2 провідний - 6ES7134-6HD01-0BA1 є відповідним модулем для базових блоків типу A0 та A1.</t>
  </si>
  <si>
    <t>SIMATIC ET 200SP, комплект інтерфейсного модуля IM155-6PN ST для мережі PROFInet, макс. 32 модуля периферії і 16 модулів ET 200AL, одиночна гаряча заміна.</t>
  </si>
  <si>
    <t>Центральний процесор Siemens CPU 1214C - 6ES7214-1HG40-0XB0. Програмований контролер SIMATIC S7-1200 compact CPU 1214 FC DC/DC/реле - 6ES7214-1HG40-0XB0 від Siemens має 14 цифрових входів, 10 цифрових релейних виходів і 2 аналогових входи. Напруга живлення становить 20.4–28.8 В DC. Для зв'язку та програмування доступний порт PROFINET. Завдяки пам'яті програм і даних об'ємом 100 кБ, що дозволяє compact CPU 1214C DC/DC/реле - 6ES7214-1HG40-0XB0 ідеально підходить для багатьох завдань управління в усіх галузях промисловості</t>
  </si>
  <si>
    <t>Модуль вводу-виводу Siemens SM 1223 DC/DC - 6ES7223-1BL32-0XB0. Використання модуля цифрового вводу/виводу SM 1223 DC/DC - 6ES7223-1BL32-0XB0 від Siemens ваш SIMATIC S7-1200 можна розширити на 16 цифрових входів і виходів кожен. Цифровий модуль SM 1223 DC/DC - 6ES7223-1BL32-0XB0 обробляє вхідні сигнали з напругою 24 В постійного струму і має транзисторні виходи з вихідним струмом 0,5 А при 24 В постійного струму.</t>
  </si>
  <si>
    <t>Модуль вводу-виводу Siemens SM 1232 AA - 6ES7232-4HB32-0XB0. Використання модуля аналогового виходу SM 1232 AA - 6ES7232-4HB32-0XB0 від Siemens ваш SIMATIC S7-1200 контролер може бути розширений 2 аналоговими виходами. Аналоговий вихід SM 1232 AA - 6ES7232-4HB32-0XB0 забезпечує сигнали +/- 10 В з роздільною здатністю 14 біт або від 0 (4) до 20 мА з роздільною здатністю 13 біт.</t>
  </si>
  <si>
    <t>Модуль цифрових входів Siemens SIMATIC ET 200SP DI 8x 24VDC ST - 6ES7131-6BF01-0BA0 має 8 цифрових входів типу 3 (IEC 61131) і обробляє вхідні сигнали з напругою 24 В постійного струму. Модуль вводу 8x 24VDC ST - 6ES7131-6BF01-0BA0 є відповідним модулем для базового блоку типу AO.</t>
  </si>
  <si>
    <t>Модуль цифрових входів Siemens SIMATIC ET 200SP DI 16x 24V DC ST - 6ES7131-6BH01-0BA0 має 16 цифрових входів типу 3 (IEC 61131) і обробляє вхідні сигнали з напругою 24 В постійного струму. Модуль вводу DI 16x 24V DC ST- 6ES7131-6BH01-0BA0 є відповідним модулем для базового блоку типу AO.</t>
  </si>
  <si>
    <t>Модуль цифрових виходів Siemens SIMATIC ET 200SP DQ 16x24VDC/0,5A ST - 6ES7132-6BH01-0BA0 має 16 цифрових виходів і обробляє вихідні сигнали з напругою 24 В DC/0,5 А. Модуль виходу DQ 16x24VDC/0.5A ST - 6ES7132-6BH01-0BA0 є відповідним модулем для базового блоку типу A0.</t>
  </si>
  <si>
    <t>Модуль аналогового вводу Siemens SIMATIC ET 200SP AI 4xI 2-/4-провідний ST -6ES7134-6GD01-0BA1 має 4 аналогових входи (поточний стандарт 2/4-провідний) і обробляє вхідні сигнали з напругою 24 В постійного струму. Модуль вводу AI 4xI 2-/ 4 провідний ST- 6ES7134-6GD01-0BA1 є відповідним модулем для базових блоків типу A0 та A1.</t>
  </si>
  <si>
    <t>Головний/аварійний вимикач 3 полюса IU=32, P/AC-23A AT 400V=11, 5KW, фронтальне кріплення по 4 отворам, поворотній привід, жовто-червоний</t>
  </si>
  <si>
    <t>Модуль блок-контактів 11U, 1НВ+1НЗ: 1НВ, 1НЗ, для допоміжних контакторів та для комутації електродвигкнів, типорозмір S00-S2, гвинтові клеми, DIN EN 50005</t>
  </si>
  <si>
    <t>SITOP PSU100S 24 V/5 A, стабілізований блок живлення, живлення: ~120/230 В, вихід: =24 В/5 A</t>
  </si>
  <si>
    <t>Джерело живлення постійного струму 230 В / 24 В, 120 Вт, 6EP1333-3BA10 – Siemens. Вид напруги живлення - AC, вихідна напруга 24 V, макс. V, номінальне значення вихідного струму 1 5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120 W, стабілізований, можлива установка на рейку, підходить для серійної установки, ширина установки 70 mm, висота установки 20 mm Зріст 125 mm, глибина 121 mm</t>
  </si>
  <si>
    <t xml:space="preserve">Джерело живлення постійного струму 230 В / 24 В 480 Вт, 6EP1336-3BA10 – Siemens. Вид напруги напруги живлення - AC/DC, вихідна напруга 24 V, макс. вихідний струм 1 20 A, вихідна напруга регулюється, номінальне значення вихідної напруги 1 24 V, номінальне значення вихідного струму 1 20 A, захист від короткого замикання, номінальна напруга живлення при змінному струмі 50 Гц 230 V, номінальна напруга живлення при змінному струмі 60 Гц 120 V, номінальна напруга живлення для постійного струму 110..220 V, регульована вихідна напруга, вихідна потужність 480 W, стабілізований, можлива установка на рейку </t>
  </si>
  <si>
    <t>6EP1931-2DC21 Sitop power DC - UPS- модуль 24В/ 6А, без інтерфейсів, вхідна напруга =24В/ 6,85А, вихід =24В/ 6А</t>
  </si>
  <si>
    <t>6EP1931-2EC21 Sitop Power DC - UPS- модуль 24В/15А, без інтерфейсів, вхідна напруга =24В/16А, вихід =24В/15А</t>
  </si>
  <si>
    <t>6EP1961-2BA00 Sitop Select : 4-канальний модуль діагностики ланцюгів живлення. вхід на канал =24 В. вихід на канал: =24 В / 2 ... 10А</t>
  </si>
  <si>
    <t>SIMATIC DP, ET 200S, Термінальний модуль TM-P15C23-A1 для встановлення модуля контролю живлення, ширина 15мм, 2X3 контакта-затискача, з затискачами для підключення до AUX1, наскрізна шина AUX1</t>
  </si>
  <si>
    <t>Монтажна рама польової шини 0 слотів 6ES7193-6BP00-0BA0 – Siemens. Без вбудованого блоку живлення, Вхідна напруга при змінному струмі 50 Гц 0 V, Вхідна напруга при змінному струмі 60 Гм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t>
  </si>
  <si>
    <t>Монтажна рама польової шини 1 слот 6ES7193-6BP00-0DA0 – Siemens. Без вбудованого блоку живлення, Вхідна напруга при змінному струмі 50 Гц 0 V, Вхідна напруга при змінному струмі 60 Гц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 так</t>
  </si>
  <si>
    <t>Монтажна рама польової шини 1 слот 6ES7193-6BP20-0DA0 – Siemens. Без вбудованого блоку живлення, Вхідна напруга при постійному струмі 19,2..28,8 V, Тип вхідної напруги DC, Вихідна напруга при постійному струмі 19,2..28,8 V, Тип вихідної напруги DC, Кількість слотів 1, Зі змінними модулями, цифрові входи / виходи так, З модулями, що підключаються, аналогове введення / виведення так, З вставними збірками</t>
  </si>
  <si>
    <t>Бічний блок-контакт 1 НВ + 1НЗ, гвинтові клеми, для автоматичного вимикача 3RV2</t>
  </si>
  <si>
    <t>По умолчанию</t>
  </si>
  <si>
    <t>Енкон Трейд</t>
  </si>
  <si>
    <t>A9F74101</t>
  </si>
  <si>
    <t>A9F74102</t>
  </si>
  <si>
    <t>A9F74204</t>
  </si>
  <si>
    <t>A9F78106</t>
  </si>
  <si>
    <t>A9F78206</t>
  </si>
  <si>
    <t>A9F79110</t>
  </si>
  <si>
    <t>A9F79116</t>
  </si>
  <si>
    <t>A9F79125</t>
  </si>
  <si>
    <t>A9F79206</t>
  </si>
  <si>
    <t>A9F79210</t>
  </si>
  <si>
    <t>A9F79216</t>
  </si>
  <si>
    <t>A9F79250</t>
  </si>
  <si>
    <t>A9F79306</t>
  </si>
  <si>
    <t>A9F79310</t>
  </si>
  <si>
    <t>A9F79325</t>
  </si>
  <si>
    <t>A9N26899</t>
  </si>
  <si>
    <t>A9N26904</t>
  </si>
  <si>
    <t>A9N61522</t>
  </si>
  <si>
    <t>A9N61524</t>
  </si>
  <si>
    <t>A9N61531</t>
  </si>
  <si>
    <t>ABLS1A24050</t>
  </si>
  <si>
    <t>ATV610D22N4</t>
  </si>
  <si>
    <t>ATV610D30N4</t>
  </si>
  <si>
    <t>ATV610U55N4</t>
  </si>
  <si>
    <t>GV2ME08</t>
  </si>
  <si>
    <t>HMIET6500</t>
  </si>
  <si>
    <t>LA1KN11</t>
  </si>
  <si>
    <t>NSYS3D7525P</t>
  </si>
  <si>
    <t>NSYSBM304012</t>
  </si>
  <si>
    <t>R9F12116</t>
  </si>
  <si>
    <t>RM17UAS16</t>
  </si>
  <si>
    <t>RXM4AB1BD</t>
  </si>
  <si>
    <t>RXZE2S114M</t>
  </si>
  <si>
    <t>XACV06</t>
  </si>
  <si>
    <t>XB5AD21</t>
  </si>
  <si>
    <t>XB5AD33</t>
  </si>
  <si>
    <t>ZB4BA3</t>
  </si>
  <si>
    <t>ZB4BD2</t>
  </si>
  <si>
    <t>ZB4BD5</t>
  </si>
  <si>
    <t>ZB4BW333</t>
  </si>
  <si>
    <t>ZB4BZ009</t>
  </si>
  <si>
    <t>ZB4BZ2005</t>
  </si>
  <si>
    <t>ZB5AS844</t>
  </si>
  <si>
    <t>ZB5AW0B15</t>
  </si>
  <si>
    <t>ZBE101</t>
  </si>
  <si>
    <t>ZBVB1</t>
  </si>
  <si>
    <t>A9F74101 Автоматичний вимикач iC60N 1P 1A C</t>
  </si>
  <si>
    <t xml:space="preserve">A9F74102 Автоматичний вимикач iC60N 1P 2A C </t>
  </si>
  <si>
    <t xml:space="preserve">A9F74204 Автоматичний вимикач iC60N 2P 4A C </t>
  </si>
  <si>
    <t xml:space="preserve">A9F78106 Автоматичний вимикач iC60N 1P 6A B  </t>
  </si>
  <si>
    <t xml:space="preserve">A9F78206 Автоматичний вимикач iC60N 2P 6A B </t>
  </si>
  <si>
    <t xml:space="preserve">A9F79110 Автоматичний вимикач iC60N 1P 10A C </t>
  </si>
  <si>
    <t xml:space="preserve">A9F79116 Автоматичний вимикач iC60N 1P 16A C </t>
  </si>
  <si>
    <t xml:space="preserve">A9F79125 Автоматичний вимикач iC60N 1P 25A C </t>
  </si>
  <si>
    <t xml:space="preserve">A9F79206 Автоматичний вимикач iC60N 2P 6A C </t>
  </si>
  <si>
    <t xml:space="preserve">A9F79210 Автоматичний вимикач iC60N 2P 10A C </t>
  </si>
  <si>
    <t xml:space="preserve">A9F79216 Автоматичний вимикач iC60N 2P 16A C </t>
  </si>
  <si>
    <t xml:space="preserve">A9F79250 Автоматичний вимикач iC60N 2P 50A C </t>
  </si>
  <si>
    <t xml:space="preserve">A9F79306 Автоматичний вимикач iC60N 3P 6A C </t>
  </si>
  <si>
    <t xml:space="preserve">A9F79310 Автоматичний вимикач iC60N 3P 10A C </t>
  </si>
  <si>
    <t xml:space="preserve">A9F79325 Автоматичний вимикач iC60N 3P 25A C </t>
  </si>
  <si>
    <t xml:space="preserve">A9N26899 ДОПОМІЖНИЙ КОНТАКТ OF+SD24 </t>
  </si>
  <si>
    <t xml:space="preserve">ABLS1A24050 БЛОК ЖИВЛЕННЯ ОПТИМІЗОВАНИЙ 1Ф 24В 5A </t>
  </si>
  <si>
    <t xml:space="preserve">ATV610D22N4 ПЕРЕТВОРЮВАЧ ЧАСТОТИ ATV610 22кВт 380В </t>
  </si>
  <si>
    <t xml:space="preserve">ATV610D30N4 ПЕРЕТВОРЮВАЧ ЧАСТОТИ ATV610 30кВт 380В </t>
  </si>
  <si>
    <t xml:space="preserve">ATV610U55N4 ПЕРЕТВОРЮВАЧ ЧАСТОТИ ATV610 5,5кВт 380В </t>
  </si>
  <si>
    <t xml:space="preserve">GV2ME08 Автоматичний вимикач 2.5-4 </t>
  </si>
  <si>
    <t xml:space="preserve">HMIET6500 СЕНСОРНА ПАНЕЛЬ ОПЕРАТОРА 10" Harmony ET6, =24В, Ethernet </t>
  </si>
  <si>
    <t xml:space="preserve">NSYS3D7525P ШАФА S3D В700XШ500XГ250+МОНТАЖН.ПЛАТА </t>
  </si>
  <si>
    <t xml:space="preserve">NSYSBM304012 ШАФА 300Х400Х120 SPACIAL SBM </t>
  </si>
  <si>
    <t xml:space="preserve">RM17UAS16 РЕЛЕ КОНТРОЛЮ НАПРУГИ </t>
  </si>
  <si>
    <t xml:space="preserve">RXM4AB1BD РЕЛЕ МІНІАТЮРНЕ,4CO,=24 В </t>
  </si>
  <si>
    <t xml:space="preserve">RXZE2S114M РОЗЕТКА ДЛЯ РЕЛЕ ТИПУ RXM4 </t>
  </si>
  <si>
    <t xml:space="preserve">XACV06 Лампа сигнальна </t>
  </si>
  <si>
    <t xml:space="preserve">XB5AD21 Перемикач </t>
  </si>
  <si>
    <t xml:space="preserve">XB5AD33 Перемикач на 3 положення з фіксацією </t>
  </si>
  <si>
    <t xml:space="preserve">ZB4BA3 Головка кнопки зелена </t>
  </si>
  <si>
    <t xml:space="preserve">ZB4BD2 Головка для перемикача чорна. </t>
  </si>
  <si>
    <t xml:space="preserve">ZB4BD5 ГОЛОВКА ДЛЯ ПЕРЕМИКАЧА </t>
  </si>
  <si>
    <t xml:space="preserve">ZB4BW333 КНОПКА З ПІДСВІЧУВАННЯМ </t>
  </si>
  <si>
    <t xml:space="preserve">ZB4BZ009 ХВ4В КРІПИЛЬНА ОСНОВА  </t>
  </si>
  <si>
    <t xml:space="preserve">ZB4BZ2005 Захисний кожух для аварійної кнопки  </t>
  </si>
  <si>
    <t xml:space="preserve">ZB5AW0B15 КНОПКА З ПІДСВІЧУВАННЯМ-24В </t>
  </si>
  <si>
    <t xml:space="preserve">A9N61522 Автоматичний вимикач C60H-DC =500В 2А 2Р С </t>
  </si>
  <si>
    <t xml:space="preserve">A9N61524 Автоматичний вимикач C60H-DC =500В 4А 2Р С </t>
  </si>
  <si>
    <t xml:space="preserve">A9N61531 Автоматичний вимикач C60H-DC =500В 16А 2Р С </t>
  </si>
  <si>
    <t xml:space="preserve">A9N26904 Допоміжний контакт iOF 100 мА-6 А C60/C120 </t>
  </si>
  <si>
    <t xml:space="preserve">LA1KN11 Блок додаткових контактів 1НО+1НЗ ГВИНТ.КРІП. </t>
  </si>
  <si>
    <t xml:space="preserve">R9F12116 Автоматичний вимикач RESI9 6kA 1P 16A C </t>
  </si>
  <si>
    <t>ZB5AS844 Кнопка аварійної зупинки</t>
  </si>
  <si>
    <t xml:space="preserve">ZBVB1  Світлодіодний блок, гвинтове кріплення 24В </t>
  </si>
  <si>
    <t xml:space="preserve">ZBE101 Блок-контакт для гвинтового кріплення 1НО </t>
  </si>
  <si>
    <t>Schneider</t>
  </si>
  <si>
    <t>Область застосування продукту - Розподіл
Діапазон - Acti9
Назва продукту - Acti9 iC60
Тип виробу або компоненту - Автоматичний вимикач
Назва пристрою - IC60N
Опис полюсів - 1P
Кількість захищених полюсів - 1
[In] номінальний струм - 1 А
Тип мережі Постійний струм - Змінний струм
Технологія розчеплювача - Тепломагнітний
Крива відключення - C</t>
  </si>
  <si>
    <t>Acti9 iC60N є низьковольтним автоматичним вимикачем (АВ). Це однополюсний автоматичний вимикач з номінальним струмом 2A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</si>
  <si>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4A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</si>
  <si>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однополюсний автоматичний вимикач з номінальним струмом 6A та кривою відключення B.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</si>
  <si>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6A та кривою відключення B.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</si>
  <si>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однополюсний автоматичний вимикач з номінальним струмом 10A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</si>
  <si>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однополюсний автоматичний вимикач з номінальним струмом 16A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</si>
  <si>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однополюсний автоматичний вимикач з номінальним струмом 25 А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</si>
  <si>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</si>
  <si>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</si>
  <si>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16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</si>
  <si>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двополюсний автоматичний вимикач з номінальним струмом 50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</si>
  <si>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трьохполюсний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</si>
  <si>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трьохполюсний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</si>
  <si>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Acti9 iC60N є низьковольтним автоматичним вимикачем (АВ). Це трьохполюсний автоматичний вимикач з номінальним струмом 25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</si>
  <si>
    <t>Асортимент продукції - Acti9
Тип виробу або компоненту - Контакти OC та несправності
Назва пристрою - OF+SD 24
Область застосування продукту - Для інтерфейсу Smartlink
Сигнальні контакти - 1 нормально відкритий + 1 нормально закритий
[In] номінальний струм - DC-12 2…100 мА на 24 В, постійний струм +/- 20 %
Кількість модулів Ш = 9 мм - 1
Стандарти - IEC 60947-5-4, IEC 60947-5-1
Знак якості - CE
[Ui] номінальна напруга ізоляції - 500 В відповідно до МЕК 60664-1
[Uimp] номінальна імпульсна витримувана напру - 6 кВ відповідно до МЕК 60664-1
Місцева сигналізація - Механічний індикатор
Спосіб кріплення - Фіксація
Монтажна опора - DIN-рейка</t>
  </si>
  <si>
    <t>Асортимент продукції - Acti9
Тип виробу або компоненту - Контакт OC
Назва пристрою - OF
Сигнальні контакти - 1 C/O
[In] номінальний струм - 0,1…6 А на 24...250 В, змінний струм 50/60 Гц
0,1…6 А на 24...240 В, змінний струм 50/60 Гц
0,1…3 А на 415 В, змінний струм 50/60 Гц
0,1…6 А на 24 В, постійний струм
0,1…2 А на 48 В, постійний струм
0,1…1,5 А на 60 В, постійний струм
0,1…1 А на 130 В, постійний струм
Кількість модулів Ш = 9 мм - 1</t>
  </si>
  <si>
    <t>Acti9 C60H-DC це автоматичний вимикач (АВ) постійного струму низької напруги. Це двополюсний автоматичний вимикач з номінальним струмом 2A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</si>
  <si>
    <t>Acti9 C60H-DC це автоматичний вимикач (АВ) постійного струму низької напруги. Це двополюсний автоматичний вимикач з номінальним струмом 4A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</si>
  <si>
    <t>Acti9 C60H-DC це автоматичний вимикач (АВ) постійного струму низької напруги. Це двополюсний автоматичний вимикач з номінальним струмом 16A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6 000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</si>
  <si>
    <t>Це оптимізований блок живлення ABLS з регульованим імпульсним режимом (SMPS) подає напругу постійного струму. Номінальна вхідна напруга від 100 В до 240 В змінного струму і від 140 В до 340 В постійного струму, номінальний вихідний струм 5 А при 24 В постійного струму і номінальну вихідну потужність 120 Вт. Підходить для живлення постійною напругою, необхідною в таких сферах як транспортування, пакування, управління, харчова промисловість, гірничодобувна промисловість, нафтогазова промисловість і водопостачання. Встановлюється на DIN-рейку або кріпиться гвинтами. Ширина 40 мм, висота 123,6 мм, глибина 117. 6 мм. Забезпечує захист від перевантажень і коротких замикань з автоматичним перезапуском після усунення джерела перевантаження/короткого замикання. Вага 0,550 кг. Відповідає стандартам EN62368-1, ENIEC61010-1/2-201, ENIEC61204-3, EN61000-6-1/2/3/4, EN61000-3-2-3, UL62368-1, UL61010-2-201/-1-201, CSAC22. 2No62368-1/No61010-2-201/No61010-1 і сертифікований CE, CUL, RCM, CBscheme. Для його захисту рекомендовано використовувати мініатюрні вимикачі Acti9 iC60. Тип захисту - 16А, крива С або 13А. На передній панелі є світлодіод, що вказує на наявність вихідної напруги постійного струму, а також QR-код для доступу до останньої технічної документації. Встановлюється як у шафах, так і на промислових панелях, закріплюючи на DIN-рейці. Розроблені для простих машин, модульні джерела живлення в першу чергу цінуються за свою надзвичайну компактність.</t>
  </si>
  <si>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22 кВт / 30 кінських сил для застосувань, що вимагають невеликого перевантаження (до 120%). Він підходить для двигунів з номінальною потужністю до 18,5 кВт / 25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вбудовані вхідні фільтри радіоперешкод відповідно до стандарту електромагнітної сумісності для електроприводів із змінною швидкістю IEC/EN 61800-3, видання 2, категорія C3 в середовищі 1 або 2. Він важить 13,9 кг, а його розміри становлять: 211 мм у ширину, 495 мм у висоту, 232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</si>
  <si>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30 кВт / 40 кінських сил для застосувань, що вимагають невеликого перевантаження (до 120%). Він підходить для двигунів з номінальною потужністю до 22 кВт / 30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інтегровані вхідні фільтри радіоперешкод відповідно до стандарту електромагнітної сумісності для «продуктів» електроприводів із змінною швидкістю IEC/EN 61800-3, видання 2, категорія C3 в середовищі 1 або 2. Він важить 26,1 кг, а його розміри становлять 226 мм у ширину, 613 мм у висоту, 271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</si>
  <si>
    <t>Серія продукту - Easy Altivar 610
Тип виробу або компоненту - Перетворювач частоти
Конкретне застосування виробу - Вентилятор, насос, компресор, конвеєр
Назва пристрою - ATV610
Виконання - Стандартна версія
Призначення продукту - Асинхронні двигуни
Синхронні двигуни
Спосіб кріплення - Монтаж в шафу
ЕМС фільтр - Вбудований відповідно до МЕК 61800-3 категорія C3 з50 м
Ступінь захисту - IP20
Тип охолодження - Примусове охолодження
Частота мережі живлення - 50...60 Гц +/-5 %
Кількість фаз мережі - 3 фази
[Us] номінальна напруга живлення - 380..460 В - 15...10 %
Потужність двигуна [кВт] - 5,5 кВт для нормальний режим роботи
4 кВт для важкий режим роботи
Потужність двигуна [к.с.] - 7,5 к.с для нормальний режим роботи
5 к.с для важкий режим роботи</t>
  </si>
  <si>
    <t>Автоматичний вимикач двигуна TeSys GV, 3 полюси (3P), 4A/690 В, для 3-фазних двигунів 1,1-1,5 кВт при 400 В. Він забезпечує термомагнітний захист із температурним діапазоном налаштування 2,5-4A, магнітне відключення при 13xIn, високу відключаючу здатність Icu 100kA при 400V. підключення здійснюється за допомогою гвинтових клем. Управління запуском/зупинкою за допомогою відповідної кнопки гарантовано на 100 000 циклів AC-3. Сертифіковано за кількома стандартами (IEC, UL, CSA, CCC, EAC, Marine, ATEX), відповідає вимогам Green Premium (RoHS/REACh).</t>
  </si>
  <si>
    <t>Серія продукту - Easy Harmony ET6
Тип виробу або компоненту - Панель оператора із сенсорним екраном
Найменування програмного забезпечення - Vijeo Designer Basic
Операційна система - VxWorks
Назва процесора - ARM Cortex-A8
Розмір дисплея - 10 дюймів
Тип дисплея - Кольоровий РК-дисплей TFT
Колір дисплея - 16 мільйонів кольорів
Роздільна здатність дисплея - 1024 x 600 пікселів WSVGA
Cенсорна панель - Одноконтактний аналоговий резистивний
Яскравість - 16 рівнів</t>
  </si>
  <si>
    <t>Блок допоміжних контактів миттєвої дії TeSys K, для контакторів LC,K, LP,K, CA,K з гвинтовими клемами. Він забезпечує 1NO+1NC контакти з номінальною напругою до 10А 690В змінного струму, підключення здійснюється за допомогою гвинтових клем. Фронтальне кріплення на засувках забезпечує високу надійність та довговічність. Сертифіковано за кількома стандартами (IEC, UL, CSA, CCC), відповідає вимогам Green Premium (RoHS/REACh).</t>
  </si>
  <si>
    <t>Настінна сталева шафа Spacial S3D з гладкими дверима та монтажною пластиною. 700 х 500 х 250 мм. Виготовлена зі сталі з епоксидно-поліефірним порошковим покриттям сірого кольору RAL 7035. Ця шафа забезпечує високий рівень захисту від проникнення та ударів за стандартами IP66 та IK10. Вона складається з міцного цільного корпусу з переднім профілем у формі жолоба з подвійним листом. Дверцята, оснащені подвійним замком 3 мм, легко знімаються та повертаються. Для використання з широким спектром аксесуарів. Безпосереднє кріплення до стіни за допомогою кріпильних фіксаторів (замовляються окремо). Шафа відповідає директивам IEC 62208 і UL508A, сертифікованим LCIE і UL відповідно. Також відповідає морським вимогам BV Marine Division, Lloyd’s Register і DNV-GL. Упаковка придатна для повторного використання після складання.</t>
  </si>
  <si>
    <t>Номінальна висота шафи - 300 мм
Номінальна ширина шафи - 400 мм
Номінальна глибина шафи - 120 мм
Монтаж шафи - Навісний
Склад пристрою - 4 гвинт кришки
1 Покриття
1 корпус
Тип корпусу - Цілісний корпус, складений і зварений
Тип передньої кришки - Звичайні двері
Кріплення кришки - Металевий гвинт напівоберта
Тип блокування - Неповоротний гвинт PZ2 зовнішня герметична зона
Матеріал - Листова сталь
Покриття поверхні - Поліефірний порошок
Колір - Сірий (RAL 7035)</t>
  </si>
  <si>
    <t>Мініатюрний автоматичний вимикач Resi9. Це 1-полюсний вимикач, з номінальним струмом 16 A та кривою відключення С. Номінальна відключаюча здатність становить до 6000 А при напрузі 230 В АС відповідно до стандарту EN/МЕК 60898-1. Цей продукт відповідає стандарту EN/МЕК 60898-1. Автоматичний вимикач захищає коло від струму короткого замикання та перевантаження. Resi9 призначений для житлового будівництва. Він має електричну витривалість до 10000 циклів і механічну витривалість до 20000 циклів. Робоча напруга Ue становить 230 В змінного струму. Номінальна напруга ізоляції Ui становить 440 В змінного струму. Робоча частота 50 Гц або 60 Гц. Його можна встановити на DIN-рейку для модульної установки. Його ширина становить 2 кроки по 9 мм. Колір виробу білий (RAL9003). Розміри (Ш) 18 мм х (В) 81 мм х (Г) 72 мм. Відповідно до стандарту МЕК 60529, ступінь захисту IP20 і IP40 в щиті. Робоча температура від -25°C до 60°C. Температура зберігання від -40°C до 60°C.</t>
  </si>
  <si>
    <t>Тип виробу або компоненту - Реле контролю напруги
Конкретне застосування виробу - Для однофазного і постійного живлення
Найменування релейного захисту - RM17UAS
Параметри релейного моніторингу - Виявлення перенапруги або пониженої напруги
час затримки - Регульований 0.1...10 с, 0 + 10 % Tt- time delay upon fault
Комутаційна здатність [ВА] - 1250 В·А
Діапазон вимірювань - 20...80 В Змінний/постійний струм
Тип контакту та з'єднання - 1 перемикаючий контакт</t>
  </si>
  <si>
    <t>Тип виробу або компоненту - Вставне реле
Тип реле - Miniature relay
Тип контакту та з'єднання - 4 перемикаючих контакти
Світлодіодний індикатор стану - Відсутній
Тип керування - Кнопка перевірки з можливістю блокування
[Uc] напруга схеми керування - 24 В постійний струм
[Ithe] умовний тепловий струм в оболонці - 6 А
Максимальний струм у сталому режимі - 5 А</t>
  </si>
  <si>
    <t>Серія продукту - Harmony Таймерні реле
Сумісність продуктів - Вставне реле RXM з 2 перемикаючі контакти контакт
Вставне реле RXM з 4 перемикаючих контакти контакт
Вставне реле REXL з 2 перемикаючі контакти контакт
Вставне реле REXL з 4 перемикаючих контакти контакт
Вставне реле 782H з 4 перемикаючих контакти контакт
Назва пристрою - RXZ
[Ith] умовний тепловий струм у відкритому вик - 10 А
Тип виробу або компоненту - Розетка
Тип контакту та з'єднання - 4 перемикаючих контакти</t>
  </si>
  <si>
    <t xml:space="preserve">Тип електричної схеми - Ланцюг управління
Тип лампи - Лампа розжарювання
Неон
Категорія станції керування - Мультикнопка
Матеріал корпусу - Металевий
Армований склом поліестер
Живлення світлового блоку - Прямий
Джерело світла - Лампочка не входить до комплекту
Монтаж контактного блоку - Фронтальне кріплення
Маса нетто - 0,05 кг
</t>
  </si>
  <si>
    <t xml:space="preserve">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
Тип контакту та з'єднання - 1 нормально відкритий
Робота контакту - Повільне розмикання
</t>
  </si>
  <si>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- 3 положення +/- 45°
Тип контакту та з'єднання - 2 нормально відкритих
Робота контакту - Повільне розмикання</t>
  </si>
  <si>
    <t>Серія продукту - Harmony XB4
Тип виробу або компоненту - Головка для кнопки без підсвічування
Назва пристрою - ZB4
Матеріал обрамлення - Хромований метал
Монтажний діаметр - 22,5 мм
Тип головки - Стандартний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Колір ковпачка/кнопки або лізни - Зелений</t>
  </si>
  <si>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t>
  </si>
  <si>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До центру повернення пружини
Профіль пристрою керування - Чорний стандартна ручка
Позиції виконавчого механізму - 3 положення +/- 45°</t>
  </si>
  <si>
    <t>Серія продукту - Harmony XB4
Тип виробу або компоненту - Головка для кнопки з підсвічуванням
Назва пристрою - ZB4
Сумісність продуктів - Універсальний світлодіод
Матеріал обрамлення - Хромований метал
Тип головки - Стандартний
Монтажний діаметр - 22,5 мм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Додаткова інформація про виконавчий механі - З гладкою лінзою
Колір ковпачка/кнопки або лізни - Зелений</t>
  </si>
  <si>
    <t>Серія продукту - Harmony XB4
Найменування аксесуара/окремої частини - Фіксуюча муфта
Тип аксесуара/запасної частини - Механізм розетки
Категорія аксесуара/запасної частини - Монтажні та кріпильні аксесуари
Матеріал - Метал
Тип головки - Стандартний
Призначення аксесуара/окремої деталі - Електричний блок
Опис виробу - Основний елемент
Кількість в одному комплекті - Набір з 10 шт.</t>
  </si>
  <si>
    <t>Серія продукту - Harmony XB4
Harmony XB5
Тип виробу або компоненту - Захист
Категорія аксесуара/запасної частини - Аксесуар для захисту
Призначення аксесуара/окремої деталі - Кнопка аварійної зупинки Ø 40 мм
Колір - Жовтий
Кількість в одному комплекті - Комплект з 1 шт.
Матеріал - Пластик</t>
  </si>
  <si>
    <t>Серія продукту - Harmony XB5
Тип виробу або компоненту - Головка для кнопки аварійної зупинки
Призначення продукту - Кнопка аварійної зупинки
Назва пристрою - ZB5
Матеріал обрамлення - Темно-сірий пластик
Тип головки - Стандартний
Монтажний діаметр - 22 мм
Форма головки сигнального блоку - Круглий
Тип виконавчого механізму - спусковий гачок і механічна фіксація
Перезавантаження - Повертається, щоб відпустити
Профіль пристрою керування - Червоний грибок Ø 40 мм, без маркування</t>
  </si>
  <si>
    <t>Серія продукту - Harmony XB5
Тип виробу або компоненту - Повний корпус/контактний блок та блок підсвічування
Назва пристрою - ZB5
Матеріал фіксуючого кільця - Пластик
Тип головки - Стандартний
Тип контакту та з'єднання - 1 нормально відкритий + 1 нормально закритий
Робота контакту - Повільне розмикання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Джерело світла - Універсальний світлодіод
Цоколь лампи - Вбудований світлодіод
Живлення світлового блоку - Прямий
Колір джерела світла - Білий</t>
  </si>
  <si>
    <t>Серія продукту- Harmony XB5
Harmony XB4
Тип виробу або компоненту - Контактна колодка
Назва пристрою - ZBE
Продаж неподільною кількістю - 5
Ступінь захисту - IP20 відповідно до МЕК 60529
Робота контакту - Повільне розмикання
Тип контактного блоку - Одинарний
Використання контатів - Стандартні контакти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t>
  </si>
  <si>
    <t>Серія продукту - Harmony XB5
Harmony XB4
Тип виробу або компоненту - Світловий блок
Назва пристрою -  ZBV
Продаж неподільною кількістю - 5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Тип сигналізації - Постійний
Джерело світла - Універсальний світлодіод
Цоколь лампи - Вбудований світлодіод
Живлення світлового блоку - Прямий
Колір джерела світла - Білий
[Us] номінальна напруга живлення - 24 В змінний/постійний струм в 50/60 Гц</t>
  </si>
  <si>
    <t>A9F74101, A9F74101 Автоматичний вимикач, A9F74101 Автоматичний вимикач Schneider Electric, A9F74101 Schneider Electric, A9F74101 Автоматичний вимикач Schneider, A9F74101 Автоматичний вимикач Schneider Україна, A9F74101 Автоматичний вимикач купити, A9F74101 вимикач Schneider Electric, A9F74101 вимикач, A9F74101 вимикач Schneider, A9F74101 вимикач Schneider купити, купити вимикач A9F74101, вимикач A9F74101, вимикач A9F74101 шнайдер, iC60N автомат, автомат A9F74101, автомат A9F74101 шнайдер купити, автомат A9F74101 купити Україна, автомат A9F74101 купити в Україні</t>
  </si>
  <si>
    <t>A9F74102, A9F74102 Автоматичний вимикач, A9F74102 Автоматичний вимикач Schneider Electric, A9F74102 Schneider Electric, A9F74102 Автоматичний вимикач Schneider, A9F74102 Автоматичний вимикач Schneider Україна, A9F74102 Автоматичний вимикач купити, A9F74102 вимикач Schneider Electric, A9F74102 вимикач, A9F74102 вимикач Schneider, A9F74102 вимикач Schneider купити, купити вимикач A9F74102, вимикач A9F74102, вимикач A9F74102 шнайдер, iC60N автомат, автомат A9F74102, автомат A9F74102 шнайдер купити, автомат A9F74102 купити Україна, автомат A9F74102 купити в Україні</t>
  </si>
  <si>
    <t>A9F74204, A9F74204 Автоматичний вимикач, A9F74204 Автоматичний вимикач Schneider Electric, A9F74204 Schneider Electric, A9F74204 Автоматичний вимикач Schneider, A9F74204 Автоматичний вимикач Schneider Україна, A9F74204 Автоматичний вимикач купити, A9F74204 вимикач Schneider Electric, A9F74204 вимикач, A9F74204 вимикач Schneider, A9F74204 вимикач Schneider купити, купити вимикач A9F74204, вимикач A9F74204, вимикач A9F74204 шнайдер, iC60N автомат, автомат A9F74204, автомат A9F74204 шнайдер купити, автомат A9F74204 купити Україна, автомат A9F74204 купити в Україні</t>
  </si>
  <si>
    <t>A9F78106, A9F78106 Автоматичний вимикач, A9F78106 Автоматичний вимикач Schneider Electric, A9F78106 Schneider Electric, A9F78106 Автоматичний вимикач Schneider, A9F78106 Автоматичний вимикач Schneider Україна, A9F78106 Автоматичний вимикач купити, A9F78106 вимикач Schneider Electric, A9F78106 вимикач, A9F78106 вимикач Schneider, A9F78106 вимикач Schneider купити, купити вимикач A9F78106, вимикач A9F78106, вимикач A9F78106 шнайдер, iC60N автомат, автомат A9F78106, автомат A9F78106 шнайдер купити, автомат A9F78106 купити Україна, автомат A9F78106 купити в Україні</t>
  </si>
  <si>
    <t>A9F78206, A9F78206 Автоматичний вимикач, A9F78206 Автоматичний вимикач Schneider Electric, A9F78206 Schneider Electric, A9F78206 Автоматичний вимикач Schneider, A9F78206 Автоматичний вимикач Schneider Україна, A9F78206 Автоматичний вимикач купити, A9F78206 вимикач Schneider Electric, A9F78206 вимикач, A9F78206 вимикач Schneider, A9F78206 вимикач Schneider купити, купити вимикач A9F78206, вимикач A9F78206, вимикач A9F78206 шнайдер, iC60N автомат, автомат A9F78206, автомат A9F78206 шнайдер купити, автомат A9F78206 купити Україна, автомат A9F78206 купити в Україні</t>
  </si>
  <si>
    <t>A9F79110, A9F79110 Автоматичний вимикач, A9F79110 Автоматичний вимикач Schneider Electric, A9F79110 Schneider Electric, A9F79110 Автоматичний вимикач Schneider, A9F79110 Автоматичний вимикач Schneider Україна, A9F79110 Автоматичний вимикач купити, A9F79110 вимикач Schneider Electric, A9F79110 вимикач, A9F79110 вимикач Schneider, A9F79110 вимикач Schneider купити, купити вимикач A9F79110, вимикач A9F79110, вимикач A9F79110 шнайдер, iC60N автомат, автомат A9F79110, автомат A9F79110 шнайдер купити, автомат A9F79110 купити Україна, автомат A9F79110 купити в Україні</t>
  </si>
  <si>
    <t>A9F79116, A9F79116 Автоматичний вимикач, A9F79116 Автоматичний вимикач Schneider Electric, A9F79116 Schneider Electric, A9F79116 Автоматичний вимикач Schneider, A9F79116 Автоматичний вимикач Schneider Україна, A9F79116 Автоматичний вимикач купити, A9F79116 вимикач Schneider Electric, A9F79116 вимикач, A9F79116 вимикач Schneider, A9F79116 вимикач Schneider купити, купити вимикач A9F79116, вимикач A9F79116, вимикач A9F79116 шнайдер, iC60N автомат, автомат A9F79116, автомат A9F79116 шнайдер купити, автомат A9F79116 купити Україна, автомат A9F79116 купити в Україні</t>
  </si>
  <si>
    <t>A9F79125, A9F79125 Автоматичний вимикач, A9F79125 Автоматичний вимикач Schneider Electric, A9F79125 Schneider Electric, A9F79125 Автоматичний вимикач Schneider, A9F79125 Автоматичний вимикач Schneider Україна, A9F79125 Автоматичний вимикач купити, A9F79125 вимикач Schneider Electric, A9F79125 вимикач, A9F79125 вимикач Schneider, A9F79125 вимикач Schneider купити, купити вимикач A9F79125, вимикач A9F79125, вимикач A9F79125 шнайдер, iC60N автомат, автомат A9F79125, автомат A9F79125 шнайдер купити, автомат A9F79125 купити Україна, автомат A9F79125 купити в Україні</t>
  </si>
  <si>
    <t>A9F79206, A9F79206 Автоматичний вимикач, A9F79206 Автоматичний вимикач Schneider Electric, A9F79206 Schneider Electric, A9F79206 Автоматичний вимикач Schneider, A9F79206 Автоматичний вимикач Schneider Україна, A9F79206 Автоматичний вимикач купити, A9F79206 вимикач Schneider Electric, A9F79206 вимикач, A9F79206 вимикач Schneider, A9F79206 вимикач Schneider купити, купити вимикач A9F79206, вимикач A9F79206, вимикач A9F79206 шнайдер, iC60N автомат, автомат A9F79206, автомат A9F79206 шнайдер купити, автомат A9F79206 купити Україна, автомат A9F79206 купити в Україні</t>
  </si>
  <si>
    <t>A9F79210, A9F79210 Автоматичний вимикач, A9F79210 Автоматичний вимикач Schneider Electric, A9F79210 Schneider Electric, A9F79210 Автоматичний вимикач Schneider, A9F79210 Автоматичний вимикач Schneider Україна, A9F79210 Автоматичний вимикач купити, A9F79210 вимикач Schneider Electric, A9F79210 вимикач, A9F79210 вимикач Schneider, A9F79210 вимикач Schneider купити, купити вимикач A9F79210, вимикач A9F79210, вимикач A9F79210 шнайдер, iC60N автомат, автомат A9F79210, автомат A9F79210 шнайдер купити, автомат A9F79210 купити Україна, автомат A9F79210 купити в Україні</t>
  </si>
  <si>
    <t>A9F79216, A9F79216 Автоматичний вимикач, A9F79216 Автоматичний вимикач Schneider Electric, A9F79216 Schneider Electric, A9F79216 Автоматичний вимикач Schneider, A9F79216 Автоматичний вимикач Schneider Україна, A9F79216 Автоматичний вимикач купити, A9F79216 вимикач Schneider Electric, A9F79216 вимикач, A9F79216 вимикач Schneider, A9F79216 вимикач Schneider купити, купити вимикач A9F79216, вимикач A9F79216, вимикач A9F79216 шнайдер, iC60N автомат, автомат A9F79216, автомат A9F79216 шнайдер купити, автомат A9F79216 купити Україна, автомат A9F79216 купити в Україні</t>
  </si>
  <si>
    <t>A9F79250, A9F79250 Автоматичний вимикач, A9F79250 Автоматичний вимикач Schneider Electric, A9F79250 Schneider Electric, A9F79250 Автоматичний вимикач Schneider, A9F79250 Автоматичний вимикач Schneider Україна, A9F79250 Автоматичний вимикач купити, A9F79250 вимикач Schneider Electric, A9F79250 вимикач, A9F79250 вимикач Schneider, A9F79250 вимикач Schneider купити, купити вимикач A9F79250, вимикач A9F79250, вимикач A9F79250 шнайдер, iC60N автомат, автомат A9F79250, автомат A9F79250 шнайдер купити, автомат A9F79250 купити Україна, автомат A9F79250 купити в Україні</t>
  </si>
  <si>
    <t>A9F79306, A9F79306 Автоматичний вимикач, A9F79306 Автоматичний вимикач Schneider Electric, A9F79306 Schneider Electric, A9F79306 Автоматичний вимикач Schneider, A9F79306 Автоматичний вимикач Schneider Україна, A9F79306 Автоматичний вимикач купити, A9F79306 вимикач Schneider Electric, A9F79306 вимикач, A9F79306 вимикач Schneider, A9F79306 вимикач Schneider купити, купити вимикач A9F79306, вимикач A9F79306, вимикач A9F79306 шнайдер, iC60N автомат, автомат A9F79306, автомат A9F79306 шнайдер купити, автомат A9F79306 купити Україна, автомат A9F79306 купити в Україні</t>
  </si>
  <si>
    <t>A9F79310, A9F79310 Автоматичний вимикач, A9F79310 Автоматичний вимикач Schneider Electric, A9F79310 Schneider Electric, A9F79310 Автоматичний вимикач Schneider, A9F79310 Автоматичний вимикач Schneider Україна, A9F79310 Автоматичний вимикач купити, A9F79310 вимикач Schneider Electric, A9F79310 вимикач, A9F79310 вимикач Schneider, A9F79310 вимикач Schneider купити, купити вимикач A9F79310, вимикач A9F79310, вимикач A9F79310 шнайдер, iC60N автомат, автомат A9F79310, автомат A9F79310 шнайдер купити, автомат A9F79310 купити Україна, автомат A9F79310 купити в Україні</t>
  </si>
  <si>
    <t>A9F79325, A9F79325 Автоматичний вимикач, A9F79325 Автоматичний вимикач Schneider Electric, A9F79325 Schneider Electric, A9F79325 Автоматичний вимикач Schneider, A9F79325 Автоматичний вимикач Schneider Україна, A9F79325 Автоматичний вимикач купити, A9F79325 вимикач Schneider Electric, A9F79325 вимикач, A9F79325 вимикач Schneider, A9F79325 вимикач Schneider купити, купити вимикач A9F79325, вимикач A9F79325, вимикач A9F79325 шнайдер, iC60N автомат, автомат A9F79325, автомат A9F79325 шнайдер купити, автомат A9F79325 купити Україна, автомат A9F79325 купити в Україні</t>
  </si>
  <si>
    <t>A9N61522, A9N61522 Автоматичний вимикач, A9N61522 Автоматичний вимикач Schneider Electric, A9N61522 Schneider Electric, A9N61522 Автоматичний вимикач Schneider, A9N61522 Автоматичний вимикач Schneider Україна, A9N61522 Автоматичний вимикач купити, A9N61522 вимикач Schneider Electric, A9N61522 вимикач, A9N61522 вимикач Schneider, A9N61522 вимикач Schneider купити, купити вимикач A9N61522, вимикач A9N61522, вимикач A9N61522 шнайдер, iC60N автомат, автомат A9N61522, автомат A9N61522 шнайдер купити, автомат A9N61522 купити Україна, автомат A9N61522 купити в Україні</t>
  </si>
  <si>
    <t>A9N61524, A9N61524 Автоматичний вимикач, A9N61524 Автоматичний вимикач Schneider Electric, A9N61524 Schneider Electric, A9N61524 Автоматичний вимикач Schneider, A9N61524 Автоматичний вимикач Schneider Україна, A9N61524 Автоматичний вимикач купити, A9N61524 вимикач Schneider Electric, A9N61524 вимикач, A9N61524 вимикач Schneider, A9N61524 вимикач Schneider купити, купити вимикач A9N61524, вимикач A9N61524, вимикач A9N61524 шнайдер, iC60N автомат, автомат A9N61524, автомат A9N61524 шнайдер купити, автомат A9N61524 купити Україна, автомат A9N61524 купити в Україні</t>
  </si>
  <si>
    <t>A9N61531, A9N61531 Автоматичний вимикач, A9N61531 Автоматичний вимикач Schneider Electric, A9N61531 Schneider Electric, A9N61531 Автоматичний вимикач Schneider, A9N61531 Автоматичний вимикач Schneider Україна, A9N61531 Автоматичний вимикач купити, A9N61531 вимикач Schneider Electric, A9N61531 вимикач, A9N61531 вимикач Schneider, A9N61531 вимикач Schneider купити, купити вимикач A9N61531, вимикач A9N61531, вимикач A9N61531 шнайдер, iC60N автомат, автомат A9N61531, автомат A9N61531 шнайдер купити, автомат A9N61531 купити Україна, автомат A9N61531 купити в Україні</t>
  </si>
  <si>
    <t>GV2ME08, GV2ME08 Автоматичний вимикач, GV2ME08 Автоматичний вимикач Schneider Electric, GV2ME08 Schneider Electric, GV2ME08 Автоматичний вимикач Schneider, GV2ME08 Автоматичний вимикач Schneider Україна, GV2ME08 Автоматичний вимикач купити, GV2ME08 вимикач Schneider Electric, GV2ME08 вимикач, GV2ME08 вимикач Schneider, GV2ME08 вимикач Schneider купити, купити вимикач GV2ME08, вимикач GV2ME08, вимикач GV2ME08 шнайдер, iC60N автомат, автомат GV2ME08, автомат GV2ME08 шнайдер купити, автомат GV2ME08 купити Україна, автомат GV2ME08 купити в Україні</t>
  </si>
  <si>
    <t>R9F12116, R9F12116 Автоматичний вимикач, R9F12116 Автоматичний вимикач Schneider Electric, R9F12116 Schneider Electric, R9F12116 Автоматичний вимикач Schneider, R9F12116 Автоматичний вимикач Schneider Україна, R9F12116 Автоматичний вимикач купити, R9F12116 вимикач Schneider Electric, R9F12116 вимикач, R9F12116 вимикач Schneider, R9F12116 вимикач Schneider купити, купити вимикач R9F12116, вимикач R9F12116, вимикач R9F12116 шнайдер, iC60N автомат, автомат R9F12116, автомат R9F12116 шнайдер купити, автомат R9F12116 купити Україна, автомат R9F12116 купити в Україні</t>
  </si>
  <si>
    <t>A9N26899, A9N26899 Допоміжний контакт, A9N26899 Допоміжний контакт Schneider Electric, A9N26899 Schneider Electric, A9N26899 Допоміжний контакт Schneider, A9N26899 Допоміжний контакт Schneider Україна, A9N26899 Допоміжний контакт купити, A9N26899 Доп контакт Schneider Electric, A9N26899 Доп контакт, A9N26899 Доп контакт Schneider, A9N26899 Доп контакт Schneider купити, купити Доп контакт A9N26899, Доп контакт A9N26899, Доп контакт A9N26899 шнайдер, iC60N дод. контакт, дод. контакт A9N26899, дод. контакт A9N26899 шнайдер купити, дод. контакт A9N26899 купити Україна, дод. контакт A9N26899 купити в Україні</t>
  </si>
  <si>
    <t>A9N26904, A9N26904 Допоміжний контакт, A9N26904 Допоміжний контакт Schneider Electric, A9N26904 Schneider Electric, A9N26904 Допоміжний контакт Schneider, A9N26904 Допоміжний контакт Schneider Україна, A9N26904 Допоміжний контакт купити, A9N26904 Доп контакт Schneider Electric, A9N26904 Доп контакт, A9N26904 Доп контакт Schneider, A9N26904 Доп контакт Schneider купити, купити Доп контакт A9N26904, Доп контакт A9N26904, Доп контакт A9N26904 шнайдер, iC60N дод. контакт, дод. контакт A9N26904, дод. контакт A9N26904 шнайдер купити, дод. контакт A9N26904 купити Україна, дод. контакт A9N26904 купити в Україні</t>
  </si>
  <si>
    <t>LA1KN11, LA1KN11 Допоміжний контакт, LA1KN11 Допоміжний контакт Schneider Electric, LA1KN11 Schneider Electric, LA1KN11 Допоміжний контакт Schneider, LA1KN11 Допоміжний контакт Schneider Україна, LA1KN11 Допоміжний контакт купити, LA1KN11 Доп контакт Schneider Electric, LA1KN11 Доп контакт, LA1KN11 Доп контакт Schneider, LA1KN11 Доп контакт Schneider купити, купити Доп контакт LA1KN11, Доп контакт LA1KN11, Доп контакт LA1KN11 шнайдер, iC60N дод. контакт, дод. контакт LA1KN11, дод. контакт LA1KN11 шнайдер купити, дод. контакт LA1KN11 купити Україна, дод. контакт LA1KN11 купити в Україні</t>
  </si>
  <si>
    <t>ABLS1A24050, ABLS1A24050 Schneider Electric, Schneider ABLS1A24050,  Schneider ABLS1A24050 блок живлення, блок живлення  Schneider ABLS1A24050, блок живлення купити, купити  Schneider ABLS1A24050,  Schneider ABLS1A24050 Україна,  Schneider ABLS1A24050 купити в Україні, блок живлення  Schneider ABLS1A24050 купити,  Schneider ABLS1A24050 Україна,  Schneider ABLS1A24050 блок живлення</t>
  </si>
  <si>
    <t>ATV610D22N4 ПЕРЕТВОРЮВАЧ ЧАСТОТИ ATV610, ATV610D22N4 ПЕРЕТВОРЮВАЧ, ATV610D22N4 ПЕРЕТВОРЮВАЧ Schneider Electric, ПЕРЕТВОРЮВАЧ Schneider Electric, ПЕРЕТВОРЮВАЧ ЧАСТОТИ ATV610, ПЕРЕТВОРЮВАЧ ЧАСТОТИ ATV610 22кВт, ПЕРЕТВОРЮВАЧ ЧАСТОТИ ATV610 22кВт купити, ПЕРЕТВОРЮВАЧ ЧАСТОТИ 22кВт, ПЕРЕТВОРЮВАЧ ЧАСТОТИ 22кВт купити, ПЕРЕТВОРЮВАЧ ЧАСТОТИ 22кВт купити україна, купити ПЕРЕТВОРЮВАЧ ЧАСТОТИ 22кВт, купити ATV610D22N4 ПЕРЕТВОРЮВАЧ,  ATV610D22N4 Schneider Electric, ATV610D22N4 Schneider Electric 22 квт, ATV610D22N4 Schneider Electric купити, ATV610D22N4 Schneider Electric купити україна, частотник шнайдер купити, частотний перетворювач шнайдер 22 квт, частотний перетворювач ATV610D22N4, частотник шнайдер ATV610D22N4</t>
  </si>
  <si>
    <t>ATV610D30N4 ПЕРЕТВОРЮВАЧ ЧАСТОТИ ATV610, ATV610D30N4 ПЕРЕТВОРЮВАЧ, ATV610D30N4 ПЕРЕТВОРЮВАЧ Schneider Electric, ПЕРЕТВОРЮВАЧ Schneider Electric, ПЕРЕТВОРЮВАЧ ЧАСТОТИ ATV610, ПЕРЕТВОРЮВАЧ ЧАСТОТИ ATV610 30кВт, ПЕРЕТВОРЮВАЧ ЧАСТОТИ ATV610 30кВт купити, ПЕРЕТВОРЮВАЧ ЧАСТОТИ 30кВт, ПЕРЕТВОРЮВАЧ ЧАСТОТИ 30кВт купити, ПЕРЕТВОРЮВАЧ ЧАСТОТИ 30кВт купити україна, купити ПЕРЕТВОРЮВАЧ ЧАСТОТИ 30кВт, купити ATV610D30N4 ПЕРЕТВОРЮВАЧ,  ATV610D30N4 Schneider Electric, ATV610D30N4 Schneider Electric 30 квт, ATV610D30N4 Schneider Electric купити, ATV610D30N4 Schneider Electric купити україна, частотник шнайдер купити, частотний перетворювач шнайдер 30 квт, частотний перетворювач ATV610D30N4, частотник шнайдер ATV610D30N4</t>
  </si>
  <si>
    <t>ATV610U55N4 ПЕРЕТВОРЮВАЧ ЧАСТОТИ ATV610, ATV610U55N4 ПЕРЕТВОРЮВАЧ, ATV610U55N4 ПЕРЕТВОРЮВАЧ Schneider Electric, ПЕРЕТВОРЮВАЧ Schneider Electric, ПЕРЕТВОРЮВАЧ ЧАСТОТИ ATV610, ПЕРЕТВОРЮВАЧ ЧАСТОТИ ATV610 5,5кВт, ПЕРЕТВОРЮВАЧ ЧАСТОТИ ATV610 5,5кВт купити, ПЕРЕТВОРЮВАЧ ЧАСТОТИ 5,5кВт, ПЕРЕТВОРЮВАЧ ЧАСТОТИ 5,5кВт купити, ПЕРЕТВОРЮВАЧ ЧАСТОТИ 5,5кВт купити україна, купити ПЕРЕТВОРЮВАЧ ЧАСТОТИ 5,5кВт, купити ATV610U55N4 ПЕРЕТВОРЮВАЧ,  ATV610U55N4 Schneider Electric, ATV610U55N4 Schneider Electric 5,5 квт, ATV610U55N4 Schneider Electric купити, ATV610U55N4 Schneider Electric купити україна, частотник шнайдер купити, частотний перетворювач шнайдер 5,5 квт, частотний перетворювач ATV610U55N4, частотник шнайдер ATV610U55N4</t>
  </si>
  <si>
    <t>HMIET6500 СЕНСОРНА ПАНЕЛЬ ОПЕРАТОРА 10", HMIET6500 СЕНСОРНА ПАНЕЛЬ, HMIET6500 ПАНЕЛЬ, HMIET6500 ПАНЕЛЬ Schneider Electric, HMIET6500 Schneider Electric, панель оператора HMIET6500 шнайдер, панель оператора HMIET6500 шнайдер купити, купити панель оператора HMIET6500 шнайдер, панель оператора HMIET6500, панель HMIET6500 купити, панель HMIET6500 купити україна</t>
  </si>
  <si>
    <t>NSYS3D7525P, NSYS3D7525P Schneider Electric, Schneider NSYS3D7525P,  Schneider NSYS3D7525P шафа, шафа  Schneider NSYS3D7525P, шафа купити, купити  Schneider NSYS3D7525P,  Schneider NSYS3D7525P Україна,  Schneider NSYS3D7525P купити в Україні, шафа  Schneider NSYS3D7525P купити,  Schneider NSYS3D7525P Україна,  Schneider NSYS3D7525P шафа</t>
  </si>
  <si>
    <t>NSYSBM304012, NSYSBM304012 Schneider Electric, Schneider NSYSBM304012,  Schneider NSYSBM304012 шафа, шафа  Schneider NSYSBM304012, шафа купити, купити  Schneider NSYSBM304012,  Schneider NSYSBM304012 Україна,  Schneider NSYSBM304012 купити в Україні, шафа  Schneider NSYSBM304012 купити,  Schneider NSYSBM304012 Україна,  Schneider NSYSBM304012 шафа</t>
  </si>
  <si>
    <t>RM17UAS16, RM17UAS16 Schneider Electric, Schneider RM17UAS16,  Schneider RM17UAS16 реле, реле  Schneider RM17UAS16, реле купити, купити  Schneider RM17UAS16,  Schneider RM17UAS16 Україна,  Schneider RM17UAS16 купити в Україні, реле  Schneider RM17UAS16 купити,  Schneider RM17UAS16 Україна,  Schneider RM17UAS16 реле</t>
  </si>
  <si>
    <t>RXM4AB1BD, RXM4AB1BD Schneider Electric, Schneider RXM4AB1BD,  Schneider RXM4AB1BD реле, реле  Schneider RXM4AB1BD, реле купити, купити  Schneider RXM4AB1BD,  Schneider RXM4AB1BD Україна,  Schneider RXM4AB1BD купити в Україні, реле  Schneider RXM4AB1BD купити,  Schneider RXM4AB1BD Україна,  Schneider RXM4AB1BD реле</t>
  </si>
  <si>
    <t>RXZE2S114M, RXZE2S114M Schneider Electric, Schneider RXZE2S114M,  Schneider RXZE2S114M розетка, розетка  Schneider RXZE2S114M, розетка купити, купити  Schneider RXZE2S114M,  Schneider RXZE2S114M Україна,  Schneider RXZE2S114M купити в Україні, розетка  Schneider RXZE2S114M купити,  Schneider RXZE2S114M Україна,  Schneider RXZE2S114M розетка</t>
  </si>
  <si>
    <t>XACV06, XACV06 Schneider Electric, Schneider XACV06,  Schneider XACV06 лампа, лампа  Schneider XACV06, лампа купити, купити  Schneider XACV06,  Schneider XACV06 Україна,  Schneider XACV06 купити в Україні, лампа  Schneider XACV06 купити,  Schneider XACV06 Україна,  Schneider XACV06 лампа</t>
  </si>
  <si>
    <t>XB5AD21, XB5AD21 Schneider Electric, Schneider XB5AD21,  Schneider XB5AD21 перемикач, перемикач  Schneider XB5AD21, перемикач купити, купити  Schneider XB5AD21,  Schneider XB5AD21 Україна,  Schneider XB5AD21 купити в Україні, перемикач  Schneider XB5AD21 купити,  Schneider XB5AD21 Україна,  Schneider XB5AD21 перемикач</t>
  </si>
  <si>
    <t>XB5AD33, XB5AD33 Schneider Electric, Schneider XB5AD33,  Schneider XB5AD33 перемикач, перемикач  Schneider XB5AD33, перемикач купити, купити  Schneider XB5AD33,  Schneider XB5AD33 Україна,  Schneider XB5AD33 купити в Україні, перемикач  Schneider XB5AD33 купити,  Schneider XB5AD33 Україна,  Schneider XB5AD33 перемикач</t>
  </si>
  <si>
    <t>ZB4BA3, ZB4BA3 Schneider Electric, Schneider ZB4BA3,  Schneider ZB4BA3 кнопка, кнопка  Schneider ZB4BA3, кнопка купити, купити  Schneider ZB4BA3,  Schneider ZB4BA3 Україна,  Schneider ZB4BA3 купити в Україні, кнопка  Schneider ZB4BA3 купити,  Schneider ZB4BA3 Україна,  Schneider ZB4BA3 кнопка</t>
  </si>
  <si>
    <t>ZB4BD2, ZB4BD2 Schneider Electric, Schneider ZB4BD2,  Schneider ZB4BD2 кнопка, кнопка  Schneider ZB4BD2, кнопка купити, купити  Schneider ZB4BD2,  Schneider ZB4BD2 Україна,  Schneider ZB4BD2 купити в Україні, кнопка  Schneider ZB4BD2 купити,  Schneider ZB4BD2 Україна,  Schneider ZB4BD2 кнопка</t>
  </si>
  <si>
    <t>ZB4BD5, ZB4BD5 Schneider Electric, Schneider ZB4BD5,  Schneider ZB4BD5 кнопка, кнопка  Schneider ZB4BD5, кнопка купити, купити  Schneider ZB4BD5,  Schneider ZB4BD5 Україна,  Schneider ZB4BD5 купити в Україні, кнопка  Schneider ZB4BD5 купити,  Schneider ZB4BD5 Україна,  Schneider ZB4BD5 кнопка</t>
  </si>
  <si>
    <t>ZB4BW333, ZB4BW333 Schneider Electric, Schneider ZB4BW333,  Schneider ZB4BW333 кнопка, кнопка  Schneider ZB4BW333, кнопка купити, купити  Schneider ZB4BW333,  Schneider ZB4BW333 Україна,  Schneider ZB4BW333 купити в Україні, кнопка  Schneider ZB4BW333 купити,  Schneider ZB4BW333 Україна,  Schneider ZB4BW333 кнопка</t>
  </si>
  <si>
    <t>ZB4BZ009, ZB4BZ009 Schneider Electric, Schneider ZB4BZ009,  Schneider ZB4BZ009 кнопка, кнопка  Schneider ZB4BZ009, кнопка купити, купити  Schneider ZB4BZ009,  Schneider ZB4BZ009 Україна,  Schneider ZB4BZ009 купити в Україні, кнопка  Schneider ZB4BZ009 купити,  Schneider ZB4BZ009 Україна,  Schneider ZB4BZ009 кнопка</t>
  </si>
  <si>
    <t>ZB4BZ2005, ZB4BZ2005 Schneider Electric, Schneider ZB4BZ2005,  Schneider ZB4BZ2005 кнопка, кнопка  Schneider ZB4BZ2005, кнопка купити, купити  Schneider ZB4BZ2005,  Schneider ZB4BZ2005 Україна,  Schneider ZB4BZ2005 купити в Україні, кнопка  Schneider ZB4BZ2005 купити,  Schneider ZB4BZ2005 Україна,  Schneider ZB4BZ2005 кнопка</t>
  </si>
  <si>
    <t>ZB5AS844, ZB5AS844 Schneider Electric, Schneider ZB5AS844,  Schneider ZB5AS844 кнопка, кнопка  Schneider ZB5AS844, кнопка купити, купити  Schneider ZB5AS844,  Schneider ZB5AS844 Україна,  Schneider ZB5AS844 купити в Україні, кнопка  Schneider ZB5AS844 купити,  Schneider ZB5AS844 Україна,  Schneider ZB5AS844 кнопка</t>
  </si>
  <si>
    <t>ZB5AW0B15, ZB5AW0B15 Schneider Electric, Schneider ZB5AW0B15,  Schneider ZB5AW0B15 кнопка, кнопка  Schneider ZB5AW0B15, кнопка купити, купити  Schneider ZB5AW0B15,  Schneider ZB5AW0B15 Україна,  Schneider ZB5AW0B15 купити в Україні, кнопка  Schneider ZB5AW0B15 купити,  Schneider ZB5AW0B15 Україна,  Schneider ZB5AW0B15 кнопка</t>
  </si>
  <si>
    <t>ZBE101, ZBE101 Schneider Electric, Schneider ZBE101,  Schneider ZBE101 кнопка, кнопка  Schneider ZBE101, кнопка купити, купити  Schneider ZBE101,  Schneider ZBE101 Україна,  Schneider ZBE101 купити в Україні, кнопка  Schneider ZBE101 купити,  Schneider ZBE101 Україна,  Schneider ZBE101 кнопка</t>
  </si>
  <si>
    <t>ZBVB1, ZBVB1 Schneider Electric, Schneider ZBVB1,  Schneider ZBVB1 кнопка, кнопка  Schneider ZBVB1, кнопка купити, купити  Schneider ZBVB1,  Schneider ZBVB1 Україна,  Schneider ZBVB1 купити в Україні, кнопка  Schneider ZBVB1 купити,  Schneider ZBVB1 Україна,  Schneider ZBVB1 кнопка</t>
  </si>
  <si>
    <t>Блоки живлення</t>
  </si>
  <si>
    <t>Апаратура захисту</t>
  </si>
  <si>
    <t>Автоматичні вимикачі</t>
  </si>
  <si>
    <t>Перетворювачі для двигунів</t>
  </si>
  <si>
    <t>Частотні перетворювачі</t>
  </si>
  <si>
    <t>ціна сайт з пдв ГРН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</si>
</sst>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 _₴"/>
  </numFmts>
  <fonts count="13" x14ac:knownFonts="1">
    <font>
      <sz val="12"/>
      <color rgb="FF000000"/>
      <name val="Calibri"/>
    </font>
    <font>
      <b/>
      <sz val="9"/>
      <color rgb="FF000000"/>
      <name val="Arial"/>
      <family val="2"/>
      <charset val="204"/>
    </font>
    <font>
      <sz val="9"/>
      <color rgb="FF000000"/>
      <name val="Arial"/>
      <family val="2"/>
      <charset val="204"/>
    </font>
    <font>
      <sz val="9"/>
      <color rgb="FF000000"/>
      <name val="Arial"/>
      <family val="2"/>
      <charset val="204"/>
    </font>
    <font>
      <sz val="12"/>
      <color rgb="FF000000"/>
      <name val="Calibri"/>
      <family val="2"/>
      <charset val="204"/>
    </font>
    <font>
      <sz val="8"/>
      <name val="Calibri"/>
      <family val="2"/>
      <charset val="204"/>
    </font>
    <font>
      <sz val="11"/>
      <color rgb="FF555555"/>
      <name val="Arial"/>
      <family val="2"/>
      <charset val="204"/>
    </font>
    <font>
      <sz val="8"/>
      <color rgb="FFFF0000"/>
      <name val="Arial"/>
      <family val="2"/>
    </font>
    <font>
      <sz val="12"/>
      <color rgb="FF000000"/>
      <name val="Calibri"/>
      <family val="2"/>
    </font>
    <font>
      <sz val="8"/>
      <name val="Arial"/>
      <family val="2"/>
    </font>
    <font>
      <sz val="8"/>
      <color indexed="8"/>
      <name val="Arial"/>
      <family val="2"/>
    </font>
    <font>
      <sz val="12"/>
      <color rgb="FFFF0000"/>
      <name val="Calibri"/>
      <family val="2"/>
      <charset val="204"/>
    </font>
    <font>
      <sz val="12"/>
      <name val="Calibri"/>
      <family val="2"/>
      <charset val="204"/>
    </font>
  </fonts>
  <fills count="4">
    <fill>
      <patternFill patternType="none"/>
    </fill>
    <fill>
      <patternFill patternType="gray125"/>
    </fill>
    <fill>
      <patternFill patternType="solid">
        <fgColor rgb="FFFFFF00"/>
        <bgColor indexed="64"/>
      </patternFill>
    </fill>
    <fill>
      <patternFill patternType="solid">
        <fgColor indexed="9"/>
        <bgColor indexed="64"/>
      </patternFill>
    </fill>
  </fills>
  <borders count="4">
    <border>
      <left/>
      <right/>
      <top/>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0"/>
      </left>
      <right style="thin">
        <color indexed="60"/>
      </right>
      <top style="thin">
        <color indexed="60"/>
      </top>
      <bottom style="thin">
        <color indexed="60"/>
      </bottom>
      <diagonal/>
    </border>
  </borders>
  <cellStyleXfs count="2">
    <xf numFmtId="0" fontId="0" fillId="0" borderId="0"/>
    <xf numFmtId="0" fontId="9" fillId="0" borderId="0"/>
  </cellStyleXfs>
  <cellXfs count="37">
    <xf numFmtId="0" fontId="0" fillId="0" borderId="0" xfId="0"/>
    <xf numFmtId="0" fontId="1" fillId="0" borderId="1" xfId="0" applyFont="1" applyBorder="1" applyAlignment="1">
      <alignment wrapText="1"/>
    </xf>
    <xf numFmtId="0" fontId="2" fillId="0" borderId="0" xfId="0" applyFont="1"/>
    <xf numFmtId="0" fontId="0" fillId="2" borderId="2" xfId="0" applyFill="1" applyBorder="1" applyAlignment="1">
      <alignment horizontal="left" vertical="top" wrapText="1"/>
    </xf>
    <xf numFmtId="0" fontId="3" fillId="0" borderId="0" xfId="0" applyFont="1"/>
    <xf numFmtId="0" fontId="1" fillId="0" borderId="1" xfId="0" applyFont="1" applyBorder="1" applyAlignment="1">
      <alignment horizontal="left" vertical="top" wrapText="1"/>
    </xf>
    <xf numFmtId="0" fontId="0" fillId="0" borderId="0" xfId="0" applyAlignment="1">
      <alignment horizontal="left" vertical="top" wrapText="1"/>
    </xf>
    <xf numFmtId="0" fontId="4" fillId="0" borderId="0" xfId="0" applyFont="1" applyAlignment="1">
      <alignment vertical="top" wrapText="1"/>
    </xf>
    <xf numFmtId="0" fontId="1" fillId="0" borderId="1" xfId="0" applyFont="1" applyBorder="1" applyAlignment="1">
      <alignment vertical="top" wrapText="1"/>
    </xf>
    <xf numFmtId="0" fontId="6" fillId="0" borderId="0" xfId="0" applyFont="1" applyAlignment="1">
      <alignment vertical="top" wrapText="1"/>
    </xf>
    <xf numFmtId="0" fontId="0" fillId="0" borderId="0" xfId="0" applyAlignment="1">
      <alignment vertical="top" wrapText="1"/>
    </xf>
    <xf numFmtId="0" fontId="0" fillId="3" borderId="2" xfId="0" applyFill="1" applyBorder="1" applyAlignment="1">
      <alignment horizontal="left" vertical="top" wrapText="1"/>
    </xf>
    <xf numFmtId="0" fontId="7" fillId="3" borderId="2" xfId="0" applyFont="1" applyFill="1" applyBorder="1" applyAlignment="1">
      <alignment horizontal="left" vertical="top" wrapText="1"/>
    </xf>
    <xf numFmtId="0" fontId="4" fillId="3" borderId="2" xfId="0" applyFont="1" applyFill="1" applyBorder="1" applyAlignment="1">
      <alignment vertical="top" wrapText="1"/>
    </xf>
    <xf numFmtId="0" fontId="4" fillId="3" borderId="2" xfId="0" applyFont="1" applyFill="1" applyBorder="1" applyAlignment="1">
      <alignment horizontal="left" vertical="top" wrapText="1"/>
    </xf>
    <xf numFmtId="0" fontId="0" fillId="3" borderId="2" xfId="0" applyFill="1" applyBorder="1" applyAlignment="1">
      <alignment horizontal="right" vertical="top" wrapText="1"/>
    </xf>
    <xf numFmtId="4" fontId="0" fillId="3" borderId="2" xfId="0" applyNumberFormat="1" applyFill="1" applyBorder="1" applyAlignment="1">
      <alignment horizontal="right" vertical="top" wrapText="1"/>
    </xf>
    <xf numFmtId="0" fontId="8" fillId="0" borderId="0" xfId="0" applyFont="1"/>
    <xf numFmtId="0" fontId="4" fillId="0" borderId="0" xfId="0" applyFont="1" applyAlignment="1">
      <alignment horizontal="left" vertical="top" wrapText="1"/>
    </xf>
    <xf numFmtId="164" fontId="0" fillId="3" borderId="2" xfId="0" applyNumberFormat="1" applyFill="1" applyBorder="1" applyAlignment="1">
      <alignment horizontal="left" vertical="top" wrapText="1"/>
    </xf>
    <xf numFmtId="0" fontId="1" fillId="0" borderId="1" xfId="0" applyFont="1" applyBorder="1"/>
    <xf numFmtId="0" fontId="10" fillId="3" borderId="3" xfId="1" applyFont="1" applyFill="1" applyBorder="1" applyAlignment="1">
      <alignment vertical="top"/>
    </xf>
    <xf numFmtId="0" fontId="4" fillId="3" borderId="2" xfId="0" applyFont="1" applyFill="1" applyBorder="1" applyAlignment="1">
      <alignment vertical="top"/>
    </xf>
    <xf numFmtId="165" fontId="1" fillId="0" borderId="1" xfId="0" applyNumberFormat="1" applyFont="1" applyBorder="1" applyAlignment="1">
      <alignment horizontal="center" wrapText="1"/>
    </xf>
    <xf numFmtId="165" fontId="0" fillId="2" borderId="2" xfId="0" applyNumberFormat="1" applyFill="1" applyBorder="1" applyAlignment="1">
      <alignment horizontal="center" vertical="top" wrapText="1"/>
    </xf>
    <xf numFmtId="165" fontId="0" fillId="3" borderId="2" xfId="0" applyNumberFormat="1" applyFill="1" applyBorder="1" applyAlignment="1">
      <alignment horizontal="center" vertical="top" wrapText="1"/>
    </xf>
    <xf numFmtId="165" fontId="7" fillId="3" borderId="2" xfId="0" applyNumberFormat="1" applyFont="1" applyFill="1" applyBorder="1" applyAlignment="1">
      <alignment horizontal="center" vertical="top" wrapText="1"/>
    </xf>
    <xf numFmtId="165" fontId="4" fillId="3" borderId="2" xfId="0" applyNumberFormat="1" applyFont="1" applyFill="1" applyBorder="1" applyAlignment="1">
      <alignment horizontal="center" vertical="top" wrapText="1"/>
    </xf>
    <xf numFmtId="165" fontId="0" fillId="0" borderId="0" xfId="0" applyNumberFormat="1" applyAlignment="1">
      <alignment horizontal="center"/>
    </xf>
    <xf numFmtId="164" fontId="11" fillId="3" borderId="2" xfId="0" applyNumberFormat="1" applyFont="1" applyFill="1" applyBorder="1" applyAlignment="1">
      <alignment horizontal="left" vertical="top" wrapText="1"/>
    </xf>
    <xf numFmtId="0" fontId="1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164" fontId="4" fillId="3" borderId="2" xfId="0" applyNumberFormat="1" applyFont="1" applyFill="1" applyBorder="1" applyAlignment="1">
      <alignment horizontal="left" vertical="top" wrapText="1"/>
    </xf>
    <xf numFmtId="165" fontId="0" fillId="0" borderId="2" xfId="0" applyNumberFormat="1" applyBorder="1" applyAlignment="1">
      <alignment horizontal="center" vertical="top" wrapText="1"/>
    </xf>
    <xf numFmtId="165" fontId="7" fillId="0" borderId="2" xfId="0" applyNumberFormat="1" applyFont="1" applyBorder="1" applyAlignment="1">
      <alignment horizontal="center" vertical="top" wrapText="1"/>
    </xf>
    <xf numFmtId="165" fontId="4" fillId="0" borderId="2" xfId="0" applyNumberFormat="1" applyFont="1" applyBorder="1" applyAlignment="1">
      <alignment horizontal="center" vertical="top" wrapText="1"/>
    </xf>
    <xf numFmtId="164" fontId="0" fillId="2" borderId="2" xfId="0" applyNumberFormat="1" applyFill="1" applyBorder="1" applyAlignment="1">
      <alignment horizontal="left" vertical="top" wrapText="1"/>
    </xf>
  </cellXfs>
  <cellStyles count="2">
    <cellStyle name="Звичайний" xfId="0" builtinId="0"/>
    <cellStyle name="Звичайний_Аркуш1" xfId="1" xr:uid="{9E53A3B6-C036-4F01-A3E1-8A8D5462C3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Khrustytska\Desktop\&#1096;&#1085;&#1077;&#1081;&#1076;&#1077;&#1088;.xls" TargetMode="External"/><Relationship Id="rId1" Type="http://schemas.openxmlformats.org/officeDocument/2006/relationships/externalLinkPath" Target="&#1096;&#1085;&#1077;&#1081;&#1076;&#1077;&#108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DSheet"/>
      <sheetName val="Аркуш1"/>
    </sheetNames>
    <sheetDataSet>
      <sheetData sheetId="0">
        <row r="12">
          <cell r="D12">
            <v>12</v>
          </cell>
          <cell r="E12">
            <v>12</v>
          </cell>
        </row>
        <row r="13">
          <cell r="B13" t="str">
            <v xml:space="preserve"> K10B001UCH </v>
          </cell>
          <cell r="D13">
            <v>4</v>
          </cell>
          <cell r="E13">
            <v>4</v>
          </cell>
        </row>
        <row r="14">
          <cell r="B14" t="str">
            <v xml:space="preserve">0818069 </v>
          </cell>
          <cell r="D14">
            <v>1</v>
          </cell>
          <cell r="E14">
            <v>1</v>
          </cell>
        </row>
        <row r="15">
          <cell r="B15">
            <v>29450</v>
          </cell>
          <cell r="D15">
            <v>4</v>
          </cell>
          <cell r="E15">
            <v>4</v>
          </cell>
        </row>
        <row r="16">
          <cell r="B16">
            <v>425204</v>
          </cell>
          <cell r="D16">
            <v>1</v>
          </cell>
          <cell r="E16">
            <v>1</v>
          </cell>
        </row>
        <row r="17">
          <cell r="B17" t="str">
            <v xml:space="preserve">425204 ZCKM1H29 </v>
          </cell>
          <cell r="D17">
            <v>2</v>
          </cell>
          <cell r="E17">
            <v>2</v>
          </cell>
        </row>
        <row r="18">
          <cell r="B18" t="str">
            <v>9007B8</v>
          </cell>
          <cell r="D18">
            <v>25</v>
          </cell>
          <cell r="E18">
            <v>25</v>
          </cell>
        </row>
        <row r="19">
          <cell r="B19" t="str">
            <v>A9A15035</v>
          </cell>
          <cell r="D19">
            <v>3</v>
          </cell>
          <cell r="E19">
            <v>3</v>
          </cell>
        </row>
        <row r="20">
          <cell r="B20" t="str">
            <v>A9A15151</v>
          </cell>
          <cell r="D20">
            <v>5</v>
          </cell>
          <cell r="E20">
            <v>5</v>
          </cell>
        </row>
        <row r="21">
          <cell r="B21" t="str">
            <v>A9A15310</v>
          </cell>
          <cell r="D21">
            <v>52</v>
          </cell>
          <cell r="E21">
            <v>52</v>
          </cell>
        </row>
        <row r="22">
          <cell r="B22" t="str">
            <v>A9A26904</v>
          </cell>
          <cell r="D22">
            <v>277</v>
          </cell>
          <cell r="E22">
            <v>256</v>
          </cell>
          <cell r="F22">
            <v>21</v>
          </cell>
        </row>
        <row r="23">
          <cell r="B23" t="str">
            <v>A9A26909</v>
          </cell>
          <cell r="D23">
            <v>9</v>
          </cell>
          <cell r="E23">
            <v>9</v>
          </cell>
        </row>
        <row r="24">
          <cell r="B24" t="str">
            <v>A9A26914</v>
          </cell>
          <cell r="D24">
            <v>91</v>
          </cell>
          <cell r="E24">
            <v>91</v>
          </cell>
        </row>
        <row r="25">
          <cell r="B25" t="str">
            <v xml:space="preserve">A9A26917 </v>
          </cell>
          <cell r="D25">
            <v>2</v>
          </cell>
          <cell r="E25">
            <v>2</v>
          </cell>
        </row>
        <row r="26">
          <cell r="B26" t="str">
            <v>A9A26919</v>
          </cell>
          <cell r="D26">
            <v>5</v>
          </cell>
          <cell r="E26">
            <v>5</v>
          </cell>
        </row>
        <row r="27">
          <cell r="B27" t="str">
            <v>A9A26924</v>
          </cell>
          <cell r="D27">
            <v>112</v>
          </cell>
          <cell r="E27">
            <v>112</v>
          </cell>
        </row>
        <row r="28">
          <cell r="B28" t="str">
            <v xml:space="preserve">A9A26929 </v>
          </cell>
          <cell r="D28">
            <v>50</v>
          </cell>
          <cell r="E28">
            <v>50</v>
          </cell>
        </row>
        <row r="29">
          <cell r="B29" t="str">
            <v>A9C22712</v>
          </cell>
          <cell r="D29">
            <v>2</v>
          </cell>
          <cell r="E29">
            <v>2</v>
          </cell>
        </row>
        <row r="30">
          <cell r="B30" t="str">
            <v xml:space="preserve">A9C22715 </v>
          </cell>
          <cell r="D30">
            <v>1</v>
          </cell>
          <cell r="E30">
            <v>1</v>
          </cell>
        </row>
        <row r="31">
          <cell r="B31" t="str">
            <v>A9D31610</v>
          </cell>
          <cell r="D31">
            <v>3</v>
          </cell>
          <cell r="E31">
            <v>3</v>
          </cell>
        </row>
        <row r="32">
          <cell r="B32" t="str">
            <v xml:space="preserve">A9D31620 </v>
          </cell>
          <cell r="D32">
            <v>3</v>
          </cell>
          <cell r="E32">
            <v>3</v>
          </cell>
        </row>
        <row r="33">
          <cell r="B33" t="str">
            <v>A9D31625</v>
          </cell>
          <cell r="D33">
            <v>5</v>
          </cell>
          <cell r="E33">
            <v>5</v>
          </cell>
        </row>
        <row r="34">
          <cell r="B34" t="str">
            <v>A9F73102</v>
          </cell>
          <cell r="D34">
            <v>30</v>
          </cell>
          <cell r="E34">
            <v>30</v>
          </cell>
        </row>
        <row r="35">
          <cell r="B35" t="str">
            <v>A9F73104</v>
          </cell>
          <cell r="D35">
            <v>2</v>
          </cell>
          <cell r="E35">
            <v>2</v>
          </cell>
        </row>
        <row r="36">
          <cell r="B36" t="str">
            <v>A9F73203</v>
          </cell>
          <cell r="D36">
            <v>17</v>
          </cell>
          <cell r="E36">
            <v>17</v>
          </cell>
        </row>
        <row r="37">
          <cell r="B37" t="str">
            <v>A9F73204</v>
          </cell>
          <cell r="D37">
            <v>2</v>
          </cell>
          <cell r="E37">
            <v>2</v>
          </cell>
        </row>
        <row r="38">
          <cell r="B38" t="str">
            <v>A9F73270</v>
          </cell>
          <cell r="D38">
            <v>2</v>
          </cell>
          <cell r="E38">
            <v>2</v>
          </cell>
        </row>
        <row r="39">
          <cell r="B39" t="str">
            <v xml:space="preserve">A9F73302 </v>
          </cell>
          <cell r="D39">
            <v>30</v>
          </cell>
          <cell r="E39">
            <v>30</v>
          </cell>
        </row>
        <row r="40">
          <cell r="B40" t="str">
            <v>A9F73303</v>
          </cell>
          <cell r="D40">
            <v>21</v>
          </cell>
          <cell r="E40">
            <v>21</v>
          </cell>
        </row>
        <row r="41">
          <cell r="B41" t="str">
            <v>A9F73304</v>
          </cell>
          <cell r="D41">
            <v>13</v>
          </cell>
          <cell r="E41">
            <v>13</v>
          </cell>
        </row>
        <row r="42">
          <cell r="B42" t="str">
            <v>A9F74101</v>
          </cell>
          <cell r="D42">
            <v>61</v>
          </cell>
          <cell r="E42">
            <v>56</v>
          </cell>
          <cell r="F42">
            <v>5</v>
          </cell>
        </row>
        <row r="43">
          <cell r="B43" t="str">
            <v>A9F74102</v>
          </cell>
          <cell r="D43">
            <v>150</v>
          </cell>
          <cell r="E43">
            <v>140</v>
          </cell>
          <cell r="F43">
            <v>10</v>
          </cell>
        </row>
        <row r="44">
          <cell r="B44" t="str">
            <v>A9F74103</v>
          </cell>
          <cell r="D44">
            <v>2</v>
          </cell>
          <cell r="E44">
            <v>2</v>
          </cell>
        </row>
        <row r="45">
          <cell r="B45" t="str">
            <v>A9F74104</v>
          </cell>
          <cell r="D45">
            <v>19</v>
          </cell>
          <cell r="E45">
            <v>19</v>
          </cell>
        </row>
        <row r="46">
          <cell r="B46" t="str">
            <v>A9F74106</v>
          </cell>
          <cell r="D46">
            <v>4</v>
          </cell>
          <cell r="E46">
            <v>4</v>
          </cell>
        </row>
        <row r="47">
          <cell r="B47" t="str">
            <v>A9F74201</v>
          </cell>
          <cell r="D47">
            <v>2</v>
          </cell>
          <cell r="E47">
            <v>2</v>
          </cell>
        </row>
        <row r="48">
          <cell r="B48" t="str">
            <v>A9F74202</v>
          </cell>
          <cell r="D48">
            <v>19</v>
          </cell>
          <cell r="E48">
            <v>19</v>
          </cell>
        </row>
        <row r="49">
          <cell r="B49" t="str">
            <v>A9F74203</v>
          </cell>
          <cell r="D49">
            <v>3</v>
          </cell>
          <cell r="E49">
            <v>3</v>
          </cell>
        </row>
        <row r="50">
          <cell r="B50" t="str">
            <v>A9F74204</v>
          </cell>
          <cell r="D50">
            <v>49</v>
          </cell>
          <cell r="E50">
            <v>37</v>
          </cell>
          <cell r="F50">
            <v>12</v>
          </cell>
        </row>
        <row r="51">
          <cell r="B51" t="str">
            <v>A9F74213</v>
          </cell>
          <cell r="D51">
            <v>4</v>
          </cell>
          <cell r="E51">
            <v>4</v>
          </cell>
        </row>
        <row r="52">
          <cell r="B52" t="str">
            <v xml:space="preserve">A9F74304 </v>
          </cell>
          <cell r="D52">
            <v>13</v>
          </cell>
          <cell r="E52">
            <v>13</v>
          </cell>
        </row>
        <row r="53">
          <cell r="B53" t="str">
            <v>A9F74402</v>
          </cell>
          <cell r="D53">
            <v>25</v>
          </cell>
          <cell r="E53">
            <v>25</v>
          </cell>
        </row>
        <row r="54">
          <cell r="B54" t="str">
            <v>A9F75106</v>
          </cell>
          <cell r="D54">
            <v>2</v>
          </cell>
          <cell r="E54">
            <v>2</v>
          </cell>
        </row>
        <row r="55">
          <cell r="B55" t="str">
            <v>A9F75110</v>
          </cell>
          <cell r="D55">
            <v>4</v>
          </cell>
          <cell r="E55">
            <v>4</v>
          </cell>
        </row>
        <row r="56">
          <cell r="B56" t="str">
            <v>A9F75116</v>
          </cell>
          <cell r="D56">
            <v>5</v>
          </cell>
          <cell r="E56">
            <v>5</v>
          </cell>
        </row>
        <row r="57">
          <cell r="B57" t="str">
            <v>A9F75120</v>
          </cell>
          <cell r="D57">
            <v>1</v>
          </cell>
          <cell r="E57">
            <v>1</v>
          </cell>
        </row>
        <row r="58">
          <cell r="B58" t="str">
            <v>A9F75140</v>
          </cell>
          <cell r="D58">
            <v>9</v>
          </cell>
          <cell r="E58">
            <v>9</v>
          </cell>
        </row>
        <row r="59">
          <cell r="B59" t="str">
            <v>A9F75216</v>
          </cell>
          <cell r="D59">
            <v>10</v>
          </cell>
          <cell r="E59">
            <v>10</v>
          </cell>
        </row>
        <row r="60">
          <cell r="B60" t="str">
            <v>A9F75310</v>
          </cell>
          <cell r="D60">
            <v>1</v>
          </cell>
          <cell r="E60">
            <v>1</v>
          </cell>
        </row>
        <row r="61">
          <cell r="B61" t="str">
            <v>A9F75316</v>
          </cell>
          <cell r="D61">
            <v>2</v>
          </cell>
          <cell r="E61">
            <v>2</v>
          </cell>
        </row>
        <row r="62">
          <cell r="B62" t="str">
            <v>A9F75325</v>
          </cell>
          <cell r="D62">
            <v>2</v>
          </cell>
          <cell r="E62">
            <v>2</v>
          </cell>
        </row>
        <row r="63">
          <cell r="B63" t="str">
            <v>A9F75332</v>
          </cell>
          <cell r="D63">
            <v>1</v>
          </cell>
          <cell r="E63">
            <v>1</v>
          </cell>
        </row>
        <row r="64">
          <cell r="B64" t="str">
            <v>A9F78106</v>
          </cell>
          <cell r="D64">
            <v>60</v>
          </cell>
          <cell r="E64">
            <v>55</v>
          </cell>
          <cell r="F64">
            <v>5</v>
          </cell>
        </row>
        <row r="65">
          <cell r="B65" t="str">
            <v>A9F78110</v>
          </cell>
          <cell r="D65">
            <v>24</v>
          </cell>
          <cell r="E65">
            <v>24</v>
          </cell>
        </row>
        <row r="66">
          <cell r="B66" t="str">
            <v>A9F78116</v>
          </cell>
          <cell r="D66">
            <v>2</v>
          </cell>
          <cell r="E66">
            <v>2</v>
          </cell>
        </row>
        <row r="67">
          <cell r="B67" t="str">
            <v>A9F78120</v>
          </cell>
          <cell r="D67">
            <v>2</v>
          </cell>
          <cell r="E67">
            <v>2</v>
          </cell>
        </row>
        <row r="68">
          <cell r="B68" t="str">
            <v>A9F78206</v>
          </cell>
          <cell r="D68">
            <v>12</v>
          </cell>
          <cell r="E68">
            <v>11</v>
          </cell>
          <cell r="F68">
            <v>1</v>
          </cell>
        </row>
        <row r="69">
          <cell r="B69" t="str">
            <v>A9F78210</v>
          </cell>
          <cell r="D69">
            <v>11</v>
          </cell>
          <cell r="E69">
            <v>11</v>
          </cell>
        </row>
        <row r="70">
          <cell r="B70" t="str">
            <v xml:space="preserve">A9F78306 </v>
          </cell>
          <cell r="D70">
            <v>8</v>
          </cell>
          <cell r="E70">
            <v>8</v>
          </cell>
        </row>
        <row r="71">
          <cell r="B71" t="str">
            <v>A9F78310</v>
          </cell>
          <cell r="D71">
            <v>1</v>
          </cell>
          <cell r="E71">
            <v>1</v>
          </cell>
        </row>
        <row r="72">
          <cell r="B72" t="str">
            <v>A9F78320</v>
          </cell>
          <cell r="D72">
            <v>3</v>
          </cell>
          <cell r="E72">
            <v>3</v>
          </cell>
        </row>
        <row r="73">
          <cell r="B73" t="str">
            <v xml:space="preserve">A9F78410 </v>
          </cell>
          <cell r="D73">
            <v>1</v>
          </cell>
          <cell r="E73">
            <v>1</v>
          </cell>
        </row>
        <row r="74">
          <cell r="B74" t="str">
            <v>A9F79106</v>
          </cell>
          <cell r="D74">
            <v>94</v>
          </cell>
          <cell r="E74">
            <v>89</v>
          </cell>
          <cell r="F74">
            <v>5</v>
          </cell>
        </row>
        <row r="75">
          <cell r="B75" t="str">
            <v>A9F79110</v>
          </cell>
          <cell r="D75">
            <v>139</v>
          </cell>
          <cell r="E75">
            <v>114</v>
          </cell>
          <cell r="F75">
            <v>25</v>
          </cell>
        </row>
        <row r="76">
          <cell r="B76" t="str">
            <v>A9F79116</v>
          </cell>
          <cell r="D76">
            <v>213</v>
          </cell>
          <cell r="E76">
            <v>180</v>
          </cell>
          <cell r="F76">
            <v>33</v>
          </cell>
        </row>
        <row r="77">
          <cell r="B77" t="str">
            <v>A9F79125</v>
          </cell>
          <cell r="D77">
            <v>60</v>
          </cell>
          <cell r="E77">
            <v>55</v>
          </cell>
          <cell r="F77">
            <v>5</v>
          </cell>
        </row>
        <row r="78">
          <cell r="B78" t="str">
            <v>A9F79206</v>
          </cell>
          <cell r="D78">
            <v>96</v>
          </cell>
          <cell r="E78">
            <v>83</v>
          </cell>
          <cell r="F78">
            <v>13</v>
          </cell>
        </row>
        <row r="79">
          <cell r="B79" t="str">
            <v>A9F79210</v>
          </cell>
          <cell r="D79">
            <v>300</v>
          </cell>
          <cell r="E79">
            <v>294</v>
          </cell>
          <cell r="F79">
            <v>6</v>
          </cell>
        </row>
        <row r="80">
          <cell r="B80" t="str">
            <v>A9F79216</v>
          </cell>
          <cell r="D80">
            <v>84</v>
          </cell>
          <cell r="E80">
            <v>75</v>
          </cell>
          <cell r="F80">
            <v>9</v>
          </cell>
        </row>
        <row r="81">
          <cell r="B81" t="str">
            <v>A9F79220</v>
          </cell>
          <cell r="D81">
            <v>12</v>
          </cell>
          <cell r="E81">
            <v>12</v>
          </cell>
        </row>
        <row r="82">
          <cell r="B82" t="str">
            <v>A9F79225</v>
          </cell>
          <cell r="D82">
            <v>6</v>
          </cell>
          <cell r="E82">
            <v>6</v>
          </cell>
        </row>
        <row r="83">
          <cell r="B83" t="str">
            <v>A9F79250</v>
          </cell>
          <cell r="D83">
            <v>7</v>
          </cell>
          <cell r="E83">
            <v>6</v>
          </cell>
          <cell r="F83">
            <v>1</v>
          </cell>
        </row>
        <row r="84">
          <cell r="B84" t="str">
            <v>A9F79306</v>
          </cell>
          <cell r="D84">
            <v>48</v>
          </cell>
          <cell r="E84">
            <v>40</v>
          </cell>
          <cell r="F84">
            <v>8</v>
          </cell>
        </row>
        <row r="85">
          <cell r="B85" t="str">
            <v>A9F79310</v>
          </cell>
          <cell r="D85">
            <v>73</v>
          </cell>
          <cell r="E85">
            <v>66</v>
          </cell>
          <cell r="F85">
            <v>7</v>
          </cell>
        </row>
        <row r="86">
          <cell r="B86" t="str">
            <v>A9F79316</v>
          </cell>
          <cell r="D86">
            <v>4</v>
          </cell>
          <cell r="E86">
            <v>4</v>
          </cell>
        </row>
        <row r="87">
          <cell r="B87" t="str">
            <v>A9F79325</v>
          </cell>
          <cell r="D87">
            <v>44</v>
          </cell>
          <cell r="E87">
            <v>42</v>
          </cell>
          <cell r="F87">
            <v>2</v>
          </cell>
        </row>
        <row r="88">
          <cell r="B88" t="str">
            <v>A9F79332</v>
          </cell>
          <cell r="D88">
            <v>14</v>
          </cell>
          <cell r="E88">
            <v>14</v>
          </cell>
        </row>
        <row r="89">
          <cell r="B89" t="str">
            <v>A9F79340</v>
          </cell>
          <cell r="D89">
            <v>4</v>
          </cell>
          <cell r="E89">
            <v>4</v>
          </cell>
        </row>
        <row r="90">
          <cell r="B90" t="str">
            <v>A9F79350</v>
          </cell>
          <cell r="D90">
            <v>3</v>
          </cell>
          <cell r="E90">
            <v>3</v>
          </cell>
        </row>
        <row r="91">
          <cell r="B91" t="str">
            <v xml:space="preserve">A9F79363 </v>
          </cell>
          <cell r="D91">
            <v>33</v>
          </cell>
          <cell r="E91">
            <v>30</v>
          </cell>
          <cell r="F91">
            <v>3</v>
          </cell>
        </row>
        <row r="92">
          <cell r="B92" t="str">
            <v>A9F79425</v>
          </cell>
          <cell r="D92">
            <v>3</v>
          </cell>
          <cell r="E92">
            <v>3</v>
          </cell>
        </row>
        <row r="93">
          <cell r="B93" t="str">
            <v>A9F79450</v>
          </cell>
          <cell r="D93">
            <v>6</v>
          </cell>
          <cell r="E93">
            <v>6</v>
          </cell>
        </row>
        <row r="94">
          <cell r="B94" t="str">
            <v>A9F83102</v>
          </cell>
          <cell r="D94">
            <v>1</v>
          </cell>
          <cell r="E94">
            <v>1</v>
          </cell>
        </row>
        <row r="95">
          <cell r="B95" t="str">
            <v>A9F84102</v>
          </cell>
          <cell r="D95">
            <v>30</v>
          </cell>
          <cell r="E95">
            <v>30</v>
          </cell>
        </row>
        <row r="96">
          <cell r="B96" t="str">
            <v>A9F84104</v>
          </cell>
          <cell r="D96">
            <v>3</v>
          </cell>
          <cell r="E96">
            <v>3</v>
          </cell>
        </row>
        <row r="97">
          <cell r="B97" t="str">
            <v>A9F84202</v>
          </cell>
          <cell r="D97">
            <v>1</v>
          </cell>
          <cell r="E97">
            <v>1</v>
          </cell>
        </row>
        <row r="98">
          <cell r="B98" t="str">
            <v xml:space="preserve">A9F84402 </v>
          </cell>
          <cell r="D98">
            <v>2</v>
          </cell>
          <cell r="E98">
            <v>2</v>
          </cell>
        </row>
        <row r="99">
          <cell r="B99" t="str">
            <v xml:space="preserve">A9F89106 </v>
          </cell>
          <cell r="D99">
            <v>12</v>
          </cell>
          <cell r="E99">
            <v>12</v>
          </cell>
        </row>
        <row r="100">
          <cell r="B100" t="str">
            <v>A9F89110</v>
          </cell>
          <cell r="D100">
            <v>5</v>
          </cell>
          <cell r="E100">
            <v>5</v>
          </cell>
        </row>
        <row r="101">
          <cell r="B101" t="str">
            <v xml:space="preserve">A9F89120 </v>
          </cell>
          <cell r="D101">
            <v>5</v>
          </cell>
          <cell r="E101">
            <v>5</v>
          </cell>
        </row>
        <row r="102">
          <cell r="B102" t="str">
            <v>A9F89210</v>
          </cell>
          <cell r="D102">
            <v>2</v>
          </cell>
          <cell r="E102">
            <v>2</v>
          </cell>
        </row>
        <row r="103">
          <cell r="B103" t="str">
            <v>A9F89340</v>
          </cell>
          <cell r="D103">
            <v>16</v>
          </cell>
          <cell r="E103">
            <v>16</v>
          </cell>
        </row>
        <row r="104">
          <cell r="B104" t="str">
            <v>A9F89363</v>
          </cell>
          <cell r="D104">
            <v>1</v>
          </cell>
          <cell r="E104">
            <v>1</v>
          </cell>
        </row>
        <row r="105">
          <cell r="B105" t="str">
            <v>A9F94110</v>
          </cell>
          <cell r="D105">
            <v>2</v>
          </cell>
          <cell r="E105">
            <v>2</v>
          </cell>
        </row>
        <row r="106">
          <cell r="B106" t="str">
            <v>A9K23116</v>
          </cell>
          <cell r="D106">
            <v>31</v>
          </cell>
          <cell r="E106">
            <v>31</v>
          </cell>
        </row>
        <row r="107">
          <cell r="B107" t="str">
            <v>A9K24102</v>
          </cell>
          <cell r="D107">
            <v>12</v>
          </cell>
          <cell r="E107">
            <v>12</v>
          </cell>
        </row>
        <row r="108">
          <cell r="B108" t="str">
            <v>A9K24104</v>
          </cell>
          <cell r="D108">
            <v>24</v>
          </cell>
          <cell r="E108">
            <v>24</v>
          </cell>
        </row>
        <row r="109">
          <cell r="B109" t="str">
            <v xml:space="preserve">A9K24106 </v>
          </cell>
          <cell r="D109">
            <v>15</v>
          </cell>
          <cell r="E109">
            <v>15</v>
          </cell>
        </row>
        <row r="110">
          <cell r="B110" t="str">
            <v>A9K24110</v>
          </cell>
          <cell r="D110">
            <v>4</v>
          </cell>
          <cell r="E110">
            <v>4</v>
          </cell>
        </row>
        <row r="111">
          <cell r="B111" t="str">
            <v xml:space="preserve">A9K24116 </v>
          </cell>
          <cell r="D111">
            <v>7</v>
          </cell>
          <cell r="E111">
            <v>7</v>
          </cell>
        </row>
        <row r="112">
          <cell r="B112" t="str">
            <v xml:space="preserve">A9K24125 </v>
          </cell>
          <cell r="D112">
            <v>8</v>
          </cell>
          <cell r="E112">
            <v>8</v>
          </cell>
        </row>
        <row r="113">
          <cell r="B113" t="str">
            <v xml:space="preserve">A9K24140 </v>
          </cell>
          <cell r="D113">
            <v>1</v>
          </cell>
          <cell r="E113">
            <v>1</v>
          </cell>
        </row>
        <row r="114">
          <cell r="B114" t="str">
            <v>A9K24202</v>
          </cell>
          <cell r="D114">
            <v>2</v>
          </cell>
          <cell r="E114">
            <v>2</v>
          </cell>
        </row>
        <row r="115">
          <cell r="B115" t="str">
            <v xml:space="preserve">A9K24216 </v>
          </cell>
          <cell r="D115">
            <v>1</v>
          </cell>
          <cell r="E115">
            <v>1</v>
          </cell>
        </row>
        <row r="116">
          <cell r="B116" t="str">
            <v xml:space="preserve">A9K24306 </v>
          </cell>
          <cell r="D116">
            <v>1</v>
          </cell>
          <cell r="E116">
            <v>1</v>
          </cell>
        </row>
        <row r="117">
          <cell r="B117" t="str">
            <v xml:space="preserve">A9K24325 </v>
          </cell>
          <cell r="D117">
            <v>2</v>
          </cell>
          <cell r="E117">
            <v>2</v>
          </cell>
        </row>
        <row r="118">
          <cell r="B118" t="str">
            <v>A9K24332</v>
          </cell>
          <cell r="D118">
            <v>1</v>
          </cell>
          <cell r="E118">
            <v>1</v>
          </cell>
        </row>
        <row r="119">
          <cell r="B119" t="str">
            <v xml:space="preserve">A9K24340 </v>
          </cell>
          <cell r="D119">
            <v>3</v>
          </cell>
          <cell r="E119">
            <v>3</v>
          </cell>
        </row>
        <row r="120">
          <cell r="B120" t="str">
            <v>A9K24363</v>
          </cell>
          <cell r="D120">
            <v>4</v>
          </cell>
          <cell r="E120">
            <v>4</v>
          </cell>
        </row>
        <row r="121">
          <cell r="B121" t="str">
            <v xml:space="preserve">A9N18365 </v>
          </cell>
          <cell r="D121">
            <v>7</v>
          </cell>
          <cell r="E121">
            <v>7</v>
          </cell>
        </row>
        <row r="122">
          <cell r="B122" t="str">
            <v xml:space="preserve">A9N18367 </v>
          </cell>
          <cell r="D122">
            <v>1</v>
          </cell>
          <cell r="E122">
            <v>1</v>
          </cell>
        </row>
        <row r="123">
          <cell r="B123" t="str">
            <v>A9N18467</v>
          </cell>
          <cell r="D123">
            <v>1</v>
          </cell>
          <cell r="E123">
            <v>1</v>
          </cell>
        </row>
        <row r="124">
          <cell r="B124" t="str">
            <v>A9N26899</v>
          </cell>
          <cell r="D124">
            <v>18</v>
          </cell>
          <cell r="E124">
            <v>8</v>
          </cell>
          <cell r="F124">
            <v>10</v>
          </cell>
        </row>
        <row r="125">
          <cell r="B125" t="str">
            <v>A9N26904</v>
          </cell>
          <cell r="D125">
            <v>534</v>
          </cell>
          <cell r="E125">
            <v>511</v>
          </cell>
          <cell r="F125">
            <v>23</v>
          </cell>
        </row>
        <row r="126">
          <cell r="B126" t="str">
            <v>A9N26924</v>
          </cell>
          <cell r="D126">
            <v>442</v>
          </cell>
          <cell r="E126">
            <v>442</v>
          </cell>
        </row>
        <row r="127">
          <cell r="B127" t="str">
            <v>A9N26929</v>
          </cell>
          <cell r="D127">
            <v>3</v>
          </cell>
          <cell r="E127">
            <v>3</v>
          </cell>
        </row>
        <row r="128">
          <cell r="B128" t="str">
            <v>A9N61501</v>
          </cell>
          <cell r="D128">
            <v>77</v>
          </cell>
          <cell r="E128">
            <v>77</v>
          </cell>
        </row>
        <row r="129">
          <cell r="B129" t="str">
            <v>A9N61502</v>
          </cell>
          <cell r="D129">
            <v>10</v>
          </cell>
          <cell r="E129">
            <v>10</v>
          </cell>
        </row>
        <row r="130">
          <cell r="B130" t="str">
            <v>A9N61503</v>
          </cell>
          <cell r="D130">
            <v>3</v>
          </cell>
          <cell r="E130">
            <v>3</v>
          </cell>
        </row>
        <row r="131">
          <cell r="B131" t="str">
            <v>A9N61522</v>
          </cell>
          <cell r="D131">
            <v>212</v>
          </cell>
          <cell r="E131">
            <v>211</v>
          </cell>
          <cell r="F131">
            <v>1</v>
          </cell>
        </row>
        <row r="132">
          <cell r="B132" t="str">
            <v>A9N61523</v>
          </cell>
          <cell r="D132">
            <v>321</v>
          </cell>
          <cell r="E132">
            <v>321</v>
          </cell>
        </row>
        <row r="133">
          <cell r="B133" t="str">
            <v>A9N61524</v>
          </cell>
          <cell r="D133">
            <v>59</v>
          </cell>
          <cell r="E133">
            <v>43</v>
          </cell>
          <cell r="F133">
            <v>16</v>
          </cell>
        </row>
        <row r="134">
          <cell r="B134" t="str">
            <v>A9N61526</v>
          </cell>
          <cell r="D134">
            <v>282</v>
          </cell>
          <cell r="E134">
            <v>282</v>
          </cell>
        </row>
        <row r="135">
          <cell r="B135" t="str">
            <v>A9N61528</v>
          </cell>
          <cell r="D135">
            <v>15</v>
          </cell>
          <cell r="E135">
            <v>15</v>
          </cell>
        </row>
        <row r="136">
          <cell r="B136" t="str">
            <v>A9N61529</v>
          </cell>
          <cell r="D136">
            <v>2</v>
          </cell>
          <cell r="E136">
            <v>2</v>
          </cell>
        </row>
        <row r="137">
          <cell r="B137" t="str">
            <v>A9N61531</v>
          </cell>
          <cell r="D137">
            <v>24</v>
          </cell>
          <cell r="E137">
            <v>22</v>
          </cell>
          <cell r="F137">
            <v>2</v>
          </cell>
        </row>
        <row r="138">
          <cell r="B138" t="str">
            <v>A9N61532</v>
          </cell>
          <cell r="D138">
            <v>1</v>
          </cell>
          <cell r="E138">
            <v>1</v>
          </cell>
        </row>
        <row r="139">
          <cell r="B139" t="str">
            <v>A9P54640</v>
          </cell>
          <cell r="D139">
            <v>3</v>
          </cell>
          <cell r="E139">
            <v>3</v>
          </cell>
        </row>
        <row r="140">
          <cell r="B140" t="str">
            <v>A9S65240</v>
          </cell>
          <cell r="D140">
            <v>3</v>
          </cell>
          <cell r="E140">
            <v>3</v>
          </cell>
        </row>
        <row r="141">
          <cell r="B141" t="str">
            <v>A9S65263</v>
          </cell>
          <cell r="D141">
            <v>6</v>
          </cell>
          <cell r="E141">
            <v>6</v>
          </cell>
        </row>
        <row r="142">
          <cell r="B142" t="str">
            <v>A9XPE310</v>
          </cell>
          <cell r="D142">
            <v>2</v>
          </cell>
          <cell r="E142">
            <v>2</v>
          </cell>
        </row>
        <row r="143">
          <cell r="B143" t="str">
            <v>A9XPH357</v>
          </cell>
          <cell r="D143">
            <v>5</v>
          </cell>
          <cell r="E143">
            <v>5</v>
          </cell>
        </row>
        <row r="144">
          <cell r="B144" t="str">
            <v>A9XPT920</v>
          </cell>
          <cell r="D144">
            <v>2</v>
          </cell>
          <cell r="E144">
            <v>2</v>
          </cell>
        </row>
        <row r="145">
          <cell r="B145" t="str">
            <v>ABL6TS25U</v>
          </cell>
          <cell r="D145">
            <v>2</v>
          </cell>
          <cell r="E145">
            <v>2</v>
          </cell>
        </row>
        <row r="146">
          <cell r="B146" t="str">
            <v>ABL8RPS24100</v>
          </cell>
          <cell r="D146">
            <v>1</v>
          </cell>
          <cell r="E146">
            <v>1</v>
          </cell>
        </row>
        <row r="147">
          <cell r="B147" t="str">
            <v>ABLS1A24031</v>
          </cell>
          <cell r="D147">
            <v>12</v>
          </cell>
          <cell r="E147">
            <v>12</v>
          </cell>
        </row>
        <row r="148">
          <cell r="B148" t="str">
            <v>ABLS1A24050</v>
          </cell>
          <cell r="D148">
            <v>31</v>
          </cell>
          <cell r="E148">
            <v>30</v>
          </cell>
          <cell r="F148">
            <v>1</v>
          </cell>
        </row>
        <row r="149">
          <cell r="B149" t="str">
            <v>ABLS1A24100</v>
          </cell>
          <cell r="D149">
            <v>3</v>
          </cell>
          <cell r="E149">
            <v>3</v>
          </cell>
        </row>
        <row r="150">
          <cell r="B150" t="str">
            <v xml:space="preserve">ABLS1A24200 </v>
          </cell>
          <cell r="D150">
            <v>3</v>
          </cell>
          <cell r="E150">
            <v>3</v>
          </cell>
        </row>
        <row r="151">
          <cell r="B151" t="str">
            <v>ABLU3A24050</v>
          </cell>
          <cell r="D151">
            <v>2</v>
          </cell>
          <cell r="E151">
            <v>2</v>
          </cell>
        </row>
        <row r="152">
          <cell r="B152" t="str">
            <v>ABT7PDU063G</v>
          </cell>
          <cell r="D152">
            <v>1</v>
          </cell>
          <cell r="E152">
            <v>1</v>
          </cell>
        </row>
        <row r="153">
          <cell r="B153" t="str">
            <v>ABT7PDU160B</v>
          </cell>
          <cell r="D153">
            <v>1</v>
          </cell>
          <cell r="E153">
            <v>1</v>
          </cell>
        </row>
        <row r="154">
          <cell r="B154" t="str">
            <v>ASILUFC51</v>
          </cell>
          <cell r="D154">
            <v>2</v>
          </cell>
          <cell r="E154">
            <v>2</v>
          </cell>
        </row>
        <row r="155">
          <cell r="B155" t="str">
            <v>ATS01N222QN</v>
          </cell>
          <cell r="D155">
            <v>3</v>
          </cell>
          <cell r="E155">
            <v>3</v>
          </cell>
        </row>
        <row r="156">
          <cell r="B156" t="str">
            <v>ATS22D88Q</v>
          </cell>
          <cell r="D156">
            <v>2</v>
          </cell>
          <cell r="E156">
            <v>2</v>
          </cell>
        </row>
        <row r="157">
          <cell r="B157" t="str">
            <v>ATS480C14Y</v>
          </cell>
          <cell r="D157">
            <v>1</v>
          </cell>
          <cell r="E157">
            <v>1</v>
          </cell>
        </row>
        <row r="158">
          <cell r="B158" t="str">
            <v>ATS48D17Q</v>
          </cell>
          <cell r="D158">
            <v>1</v>
          </cell>
          <cell r="E158">
            <v>1</v>
          </cell>
        </row>
        <row r="159">
          <cell r="B159" t="str">
            <v xml:space="preserve">ATS48D22Q </v>
          </cell>
          <cell r="D159">
            <v>1</v>
          </cell>
          <cell r="E159">
            <v>1</v>
          </cell>
        </row>
        <row r="160">
          <cell r="B160" t="str">
            <v>ATS48D32Q</v>
          </cell>
          <cell r="D160">
            <v>1</v>
          </cell>
          <cell r="E160">
            <v>1</v>
          </cell>
        </row>
        <row r="161">
          <cell r="B161" t="str">
            <v>ATS48D38Q</v>
          </cell>
          <cell r="D161">
            <v>1</v>
          </cell>
          <cell r="E161">
            <v>1</v>
          </cell>
        </row>
        <row r="162">
          <cell r="B162" t="str">
            <v xml:space="preserve">ATS48D47Q </v>
          </cell>
          <cell r="D162">
            <v>1</v>
          </cell>
          <cell r="E162">
            <v>1</v>
          </cell>
        </row>
        <row r="163">
          <cell r="B163" t="str">
            <v>ATSU01N206LT</v>
          </cell>
          <cell r="D163">
            <v>4</v>
          </cell>
          <cell r="E163">
            <v>4</v>
          </cell>
        </row>
        <row r="164">
          <cell r="B164" t="str">
            <v>ATV12H018M2</v>
          </cell>
          <cell r="D164">
            <v>1</v>
          </cell>
          <cell r="E164">
            <v>1</v>
          </cell>
        </row>
        <row r="165">
          <cell r="B165" t="str">
            <v>ATV12H037M2TQ</v>
          </cell>
          <cell r="D165">
            <v>3</v>
          </cell>
          <cell r="E165">
            <v>3</v>
          </cell>
        </row>
        <row r="166">
          <cell r="B166" t="str">
            <v>ATV12H055M2</v>
          </cell>
          <cell r="D166">
            <v>1</v>
          </cell>
          <cell r="E166">
            <v>1</v>
          </cell>
        </row>
        <row r="167">
          <cell r="B167" t="str">
            <v>ATV12H055M2TQ</v>
          </cell>
          <cell r="D167">
            <v>10</v>
          </cell>
          <cell r="E167">
            <v>10</v>
          </cell>
        </row>
        <row r="168">
          <cell r="B168" t="str">
            <v>ATV12H075M2</v>
          </cell>
          <cell r="D168">
            <v>2</v>
          </cell>
          <cell r="E168">
            <v>2</v>
          </cell>
        </row>
        <row r="169">
          <cell r="B169" t="str">
            <v>ATV12H075M2TQ</v>
          </cell>
          <cell r="D169">
            <v>2</v>
          </cell>
          <cell r="E169">
            <v>2</v>
          </cell>
        </row>
        <row r="170">
          <cell r="B170" t="str">
            <v xml:space="preserve">ATV12HU15M2 </v>
          </cell>
          <cell r="D170">
            <v>2</v>
          </cell>
          <cell r="E170">
            <v>2</v>
          </cell>
        </row>
        <row r="171">
          <cell r="B171" t="str">
            <v xml:space="preserve">ATV12HU15M2TQ </v>
          </cell>
          <cell r="D171">
            <v>4</v>
          </cell>
          <cell r="E171">
            <v>4</v>
          </cell>
        </row>
        <row r="172">
          <cell r="B172" t="str">
            <v>ATV212HD11N4</v>
          </cell>
          <cell r="D172">
            <v>12</v>
          </cell>
          <cell r="E172">
            <v>12</v>
          </cell>
        </row>
        <row r="173">
          <cell r="B173" t="str">
            <v>ATV310H U15N4E</v>
          </cell>
          <cell r="D173">
            <v>1</v>
          </cell>
          <cell r="E173">
            <v>1</v>
          </cell>
        </row>
        <row r="174">
          <cell r="B174" t="str">
            <v>ATV320D11N4B</v>
          </cell>
          <cell r="D174">
            <v>1</v>
          </cell>
          <cell r="E174">
            <v>1</v>
          </cell>
        </row>
        <row r="175">
          <cell r="B175" t="str">
            <v>ATV320D15N4C</v>
          </cell>
          <cell r="D175">
            <v>3</v>
          </cell>
          <cell r="E175">
            <v>3</v>
          </cell>
        </row>
        <row r="176">
          <cell r="B176" t="str">
            <v>ATV320U04N4C</v>
          </cell>
          <cell r="D176">
            <v>1</v>
          </cell>
          <cell r="E176">
            <v>1</v>
          </cell>
        </row>
        <row r="177">
          <cell r="B177" t="str">
            <v>ATV320U06N4C</v>
          </cell>
          <cell r="D177">
            <v>1</v>
          </cell>
          <cell r="E177">
            <v>1</v>
          </cell>
        </row>
        <row r="178">
          <cell r="B178" t="str">
            <v>ATV320U07M2C</v>
          </cell>
          <cell r="D178">
            <v>1</v>
          </cell>
          <cell r="E178">
            <v>1</v>
          </cell>
        </row>
        <row r="179">
          <cell r="B179" t="str">
            <v>ATV320U07M3C</v>
          </cell>
          <cell r="D179">
            <v>1</v>
          </cell>
          <cell r="E179">
            <v>1</v>
          </cell>
        </row>
        <row r="180">
          <cell r="B180" t="str">
            <v>ATV320U11N4B</v>
          </cell>
          <cell r="D180">
            <v>8</v>
          </cell>
          <cell r="E180">
            <v>8</v>
          </cell>
        </row>
        <row r="181">
          <cell r="B181" t="str">
            <v>ATV320U15M2C</v>
          </cell>
          <cell r="D181">
            <v>5</v>
          </cell>
          <cell r="E181">
            <v>5</v>
          </cell>
        </row>
        <row r="182">
          <cell r="B182" t="str">
            <v>ATV320U15N4B</v>
          </cell>
          <cell r="D182">
            <v>2</v>
          </cell>
          <cell r="E182">
            <v>2</v>
          </cell>
        </row>
        <row r="183">
          <cell r="B183" t="str">
            <v>ATV320U15N4C</v>
          </cell>
          <cell r="D183">
            <v>1</v>
          </cell>
          <cell r="E183">
            <v>1</v>
          </cell>
        </row>
        <row r="184">
          <cell r="B184" t="str">
            <v>ATV320U30N4B</v>
          </cell>
          <cell r="D184">
            <v>3</v>
          </cell>
          <cell r="E184">
            <v>3</v>
          </cell>
        </row>
        <row r="185">
          <cell r="B185" t="str">
            <v>ATV320U30N4C</v>
          </cell>
          <cell r="D185">
            <v>1</v>
          </cell>
          <cell r="E185">
            <v>1</v>
          </cell>
        </row>
        <row r="186">
          <cell r="B186" t="str">
            <v>ATV320U40N4B</v>
          </cell>
          <cell r="D186">
            <v>3</v>
          </cell>
          <cell r="E186">
            <v>3</v>
          </cell>
        </row>
        <row r="187">
          <cell r="B187" t="str">
            <v>ATV320U40N4C</v>
          </cell>
          <cell r="D187">
            <v>1</v>
          </cell>
          <cell r="E187">
            <v>1</v>
          </cell>
        </row>
        <row r="188">
          <cell r="B188" t="str">
            <v>ATV320U55N4B</v>
          </cell>
          <cell r="D188">
            <v>1</v>
          </cell>
          <cell r="E188">
            <v>1</v>
          </cell>
        </row>
        <row r="189">
          <cell r="B189" t="str">
            <v>ATV320U75N4B</v>
          </cell>
          <cell r="D189">
            <v>3</v>
          </cell>
          <cell r="E189">
            <v>3</v>
          </cell>
        </row>
        <row r="190">
          <cell r="B190" t="str">
            <v xml:space="preserve">ATV320U75N4C </v>
          </cell>
          <cell r="D190">
            <v>2</v>
          </cell>
          <cell r="E190">
            <v>2</v>
          </cell>
        </row>
        <row r="191">
          <cell r="B191" t="str">
            <v>ATV610D22N4</v>
          </cell>
          <cell r="D191">
            <v>1</v>
          </cell>
          <cell r="F191">
            <v>1</v>
          </cell>
        </row>
        <row r="192">
          <cell r="B192" t="str">
            <v>ATV610D30N4</v>
          </cell>
          <cell r="D192">
            <v>1</v>
          </cell>
          <cell r="F192">
            <v>1</v>
          </cell>
        </row>
        <row r="193">
          <cell r="B193" t="str">
            <v>ATV610U55N4</v>
          </cell>
          <cell r="D193">
            <v>1</v>
          </cell>
          <cell r="F193">
            <v>1</v>
          </cell>
        </row>
        <row r="194">
          <cell r="B194" t="str">
            <v>ATV630D55N4</v>
          </cell>
          <cell r="D194">
            <v>2</v>
          </cell>
          <cell r="E194">
            <v>2</v>
          </cell>
        </row>
        <row r="195">
          <cell r="B195" t="str">
            <v>ATV71H075N4Z</v>
          </cell>
          <cell r="D195">
            <v>4</v>
          </cell>
          <cell r="E195">
            <v>4</v>
          </cell>
        </row>
        <row r="196">
          <cell r="B196" t="str">
            <v>ATV71HU15N4Z</v>
          </cell>
          <cell r="D196">
            <v>1</v>
          </cell>
          <cell r="E196">
            <v>1</v>
          </cell>
        </row>
        <row r="197">
          <cell r="B197" t="str">
            <v>ATV71HU22N4Z</v>
          </cell>
          <cell r="D197">
            <v>1</v>
          </cell>
          <cell r="E197">
            <v>1</v>
          </cell>
        </row>
        <row r="198">
          <cell r="B198" t="str">
            <v>ATV930D22N4</v>
          </cell>
          <cell r="D198">
            <v>1</v>
          </cell>
          <cell r="E198">
            <v>1</v>
          </cell>
        </row>
        <row r="199">
          <cell r="B199" t="str">
            <v>ATV930D30N4</v>
          </cell>
          <cell r="D199">
            <v>1</v>
          </cell>
          <cell r="E199">
            <v>1</v>
          </cell>
        </row>
        <row r="200">
          <cell r="B200" t="str">
            <v xml:space="preserve">BSH0702M11A2A </v>
          </cell>
          <cell r="D200">
            <v>3</v>
          </cell>
          <cell r="E200">
            <v>3</v>
          </cell>
        </row>
        <row r="201">
          <cell r="B201" t="str">
            <v>C10B32D100</v>
          </cell>
          <cell r="D201">
            <v>1</v>
          </cell>
          <cell r="E201">
            <v>1</v>
          </cell>
        </row>
        <row r="202">
          <cell r="B202" t="str">
            <v xml:space="preserve">C10F3TM025 </v>
          </cell>
          <cell r="D202">
            <v>9</v>
          </cell>
          <cell r="E202">
            <v>9</v>
          </cell>
        </row>
        <row r="203">
          <cell r="B203" t="str">
            <v>C10F3TM032</v>
          </cell>
          <cell r="D203">
            <v>1</v>
          </cell>
          <cell r="E203">
            <v>1</v>
          </cell>
        </row>
        <row r="204">
          <cell r="B204" t="str">
            <v>C10F3TM080</v>
          </cell>
          <cell r="D204">
            <v>1</v>
          </cell>
          <cell r="E204">
            <v>1</v>
          </cell>
        </row>
        <row r="205">
          <cell r="B205" t="str">
            <v>C16B32D160</v>
          </cell>
          <cell r="D205">
            <v>1</v>
          </cell>
          <cell r="E205">
            <v>1</v>
          </cell>
        </row>
        <row r="206">
          <cell r="B206" t="str">
            <v xml:space="preserve">C25F32D250 </v>
          </cell>
          <cell r="D206">
            <v>1</v>
          </cell>
          <cell r="E206">
            <v>1</v>
          </cell>
        </row>
        <row r="207">
          <cell r="B207" t="str">
            <v>C25F3TM250</v>
          </cell>
          <cell r="D207">
            <v>4</v>
          </cell>
          <cell r="E207">
            <v>4</v>
          </cell>
        </row>
        <row r="208">
          <cell r="B208" t="str">
            <v xml:space="preserve">C25N3TM200 </v>
          </cell>
          <cell r="D208">
            <v>4</v>
          </cell>
          <cell r="E208">
            <v>4</v>
          </cell>
        </row>
        <row r="209">
          <cell r="B209" t="str">
            <v>C40F32D400</v>
          </cell>
          <cell r="D209">
            <v>1</v>
          </cell>
          <cell r="E209">
            <v>1</v>
          </cell>
        </row>
        <row r="210">
          <cell r="B210" t="str">
            <v>C40N32D400</v>
          </cell>
          <cell r="D210">
            <v>1</v>
          </cell>
          <cell r="E210">
            <v>1</v>
          </cell>
        </row>
        <row r="211">
          <cell r="B211" t="str">
            <v>C40N42D400</v>
          </cell>
          <cell r="D211">
            <v>1</v>
          </cell>
          <cell r="E211">
            <v>1</v>
          </cell>
        </row>
        <row r="212">
          <cell r="B212" t="str">
            <v>C63H3</v>
          </cell>
          <cell r="D212">
            <v>1</v>
          </cell>
          <cell r="E212">
            <v>1</v>
          </cell>
        </row>
        <row r="213">
          <cell r="B213" t="str">
            <v>CA2KN31M7</v>
          </cell>
          <cell r="D213">
            <v>7</v>
          </cell>
          <cell r="E213">
            <v>7</v>
          </cell>
        </row>
        <row r="214">
          <cell r="B214" t="str">
            <v>CAD32M7</v>
          </cell>
          <cell r="D214">
            <v>1</v>
          </cell>
          <cell r="E214">
            <v>1</v>
          </cell>
        </row>
        <row r="215">
          <cell r="B215" t="str">
            <v>CAD32MD</v>
          </cell>
          <cell r="D215">
            <v>10</v>
          </cell>
          <cell r="E215">
            <v>10</v>
          </cell>
        </row>
        <row r="216">
          <cell r="B216" t="str">
            <v>CAD50MD</v>
          </cell>
          <cell r="D216">
            <v>8</v>
          </cell>
          <cell r="E216">
            <v>8</v>
          </cell>
        </row>
        <row r="217">
          <cell r="B217" t="str">
            <v>CCTDD20004 РЕГ-ТОР ОСВ.ST</v>
          </cell>
          <cell r="D217">
            <v>4</v>
          </cell>
          <cell r="E217">
            <v>4</v>
          </cell>
        </row>
        <row r="218">
          <cell r="B218" t="str">
            <v>DF2EA40</v>
          </cell>
          <cell r="D218">
            <v>9</v>
          </cell>
          <cell r="E218">
            <v>9</v>
          </cell>
        </row>
        <row r="219">
          <cell r="B219" t="str">
            <v xml:space="preserve">DL1BDB1 </v>
          </cell>
          <cell r="D219">
            <v>5</v>
          </cell>
          <cell r="E219">
            <v>5</v>
          </cell>
        </row>
        <row r="220">
          <cell r="B220" t="str">
            <v>DL1BDB3</v>
          </cell>
          <cell r="D220">
            <v>5</v>
          </cell>
          <cell r="E220">
            <v>5</v>
          </cell>
        </row>
        <row r="221">
          <cell r="B221" t="str">
            <v xml:space="preserve">DL1BDB4 </v>
          </cell>
          <cell r="D221">
            <v>5</v>
          </cell>
          <cell r="E221">
            <v>5</v>
          </cell>
        </row>
        <row r="222">
          <cell r="B222" t="str">
            <v xml:space="preserve">DL1BDM1 </v>
          </cell>
          <cell r="D222">
            <v>5</v>
          </cell>
          <cell r="E222">
            <v>5</v>
          </cell>
        </row>
        <row r="223">
          <cell r="B223" t="str">
            <v>DL1BEM</v>
          </cell>
          <cell r="D223">
            <v>20</v>
          </cell>
          <cell r="E223">
            <v>20</v>
          </cell>
        </row>
        <row r="224">
          <cell r="B224" t="str">
            <v xml:space="preserve">EPH0100121 </v>
          </cell>
          <cell r="D224">
            <v>110</v>
          </cell>
          <cell r="E224">
            <v>110</v>
          </cell>
        </row>
        <row r="225">
          <cell r="B225" t="str">
            <v>EPH0300121</v>
          </cell>
          <cell r="D225">
            <v>10</v>
          </cell>
          <cell r="E225">
            <v>10</v>
          </cell>
        </row>
        <row r="226">
          <cell r="B226" t="str">
            <v>EPH2900121</v>
          </cell>
          <cell r="D226">
            <v>60</v>
          </cell>
          <cell r="E226">
            <v>60</v>
          </cell>
        </row>
        <row r="227">
          <cell r="B227" t="str">
            <v>EPH6200121</v>
          </cell>
          <cell r="D227">
            <v>4</v>
          </cell>
          <cell r="E227">
            <v>4</v>
          </cell>
        </row>
        <row r="228">
          <cell r="B228" t="str">
            <v>EPH9900121</v>
          </cell>
          <cell r="D228">
            <v>70</v>
          </cell>
          <cell r="E228">
            <v>70</v>
          </cell>
        </row>
        <row r="229">
          <cell r="B229" t="str">
            <v>EZ9C1240</v>
          </cell>
          <cell r="D229">
            <v>5</v>
          </cell>
          <cell r="E229">
            <v>5</v>
          </cell>
        </row>
        <row r="230">
          <cell r="B230" t="str">
            <v>EZ9D34616</v>
          </cell>
          <cell r="D230">
            <v>2</v>
          </cell>
          <cell r="E230">
            <v>2</v>
          </cell>
        </row>
        <row r="231">
          <cell r="B231" t="str">
            <v>EZ9D34625</v>
          </cell>
          <cell r="D231">
            <v>2</v>
          </cell>
          <cell r="E231">
            <v>2</v>
          </cell>
        </row>
        <row r="232">
          <cell r="B232" t="str">
            <v>EZ9D34632</v>
          </cell>
          <cell r="D232">
            <v>4</v>
          </cell>
          <cell r="E232">
            <v>4</v>
          </cell>
        </row>
        <row r="233">
          <cell r="B233" t="str">
            <v>EZ9F14325</v>
          </cell>
          <cell r="D233">
            <v>3</v>
          </cell>
          <cell r="E233">
            <v>3</v>
          </cell>
        </row>
        <row r="234">
          <cell r="B234" t="str">
            <v>EZ9F34106</v>
          </cell>
          <cell r="D234">
            <v>23</v>
          </cell>
          <cell r="E234">
            <v>23</v>
          </cell>
        </row>
        <row r="235">
          <cell r="B235" t="str">
            <v>EZ9F34116</v>
          </cell>
          <cell r="D235">
            <v>19</v>
          </cell>
          <cell r="E235">
            <v>19</v>
          </cell>
        </row>
        <row r="236">
          <cell r="B236" t="str">
            <v>EZ9F34340</v>
          </cell>
          <cell r="D236">
            <v>5</v>
          </cell>
          <cell r="E236">
            <v>5</v>
          </cell>
        </row>
        <row r="237">
          <cell r="B237" t="str">
            <v xml:space="preserve">EZ9F34363 </v>
          </cell>
          <cell r="D237">
            <v>4</v>
          </cell>
          <cell r="E237">
            <v>4</v>
          </cell>
        </row>
        <row r="238">
          <cell r="B238" t="str">
            <v>EZ9L33620</v>
          </cell>
          <cell r="D238">
            <v>4</v>
          </cell>
          <cell r="E238">
            <v>4</v>
          </cell>
        </row>
        <row r="239">
          <cell r="B239" t="str">
            <v xml:space="preserve">EZ9L33720 </v>
          </cell>
          <cell r="D239">
            <v>5</v>
          </cell>
          <cell r="E239">
            <v>5</v>
          </cell>
        </row>
        <row r="240">
          <cell r="B240" t="str">
            <v>EZ9S16240</v>
          </cell>
          <cell r="D240">
            <v>1</v>
          </cell>
          <cell r="E240">
            <v>1</v>
          </cell>
        </row>
        <row r="241">
          <cell r="B241" t="str">
            <v>EZ9XPH357</v>
          </cell>
          <cell r="D241">
            <v>1</v>
          </cell>
          <cell r="E241">
            <v>1</v>
          </cell>
        </row>
        <row r="242">
          <cell r="B242" t="str">
            <v xml:space="preserve">EZC100H3100 </v>
          </cell>
          <cell r="D242">
            <v>2</v>
          </cell>
          <cell r="E242">
            <v>2</v>
          </cell>
        </row>
        <row r="243">
          <cell r="B243" t="str">
            <v xml:space="preserve">EZC100N3100 </v>
          </cell>
          <cell r="D243">
            <v>18</v>
          </cell>
          <cell r="E243">
            <v>18</v>
          </cell>
        </row>
        <row r="244">
          <cell r="B244" t="str">
            <v xml:space="preserve">EZC250N3200 </v>
          </cell>
          <cell r="D244">
            <v>1</v>
          </cell>
          <cell r="E244">
            <v>1</v>
          </cell>
        </row>
        <row r="245">
          <cell r="B245" t="str">
            <v>EZC250N3250</v>
          </cell>
          <cell r="D245">
            <v>3</v>
          </cell>
          <cell r="E245">
            <v>3</v>
          </cell>
        </row>
        <row r="246">
          <cell r="B246" t="str">
            <v>EZC400N3400N</v>
          </cell>
          <cell r="D246">
            <v>3</v>
          </cell>
          <cell r="E246">
            <v>3</v>
          </cell>
        </row>
        <row r="247">
          <cell r="B247" t="str">
            <v>GB2CB06</v>
          </cell>
          <cell r="D247">
            <v>1</v>
          </cell>
          <cell r="E247">
            <v>1</v>
          </cell>
        </row>
        <row r="248">
          <cell r="B248" t="str">
            <v>GCR_IDFLD</v>
          </cell>
          <cell r="D248">
            <v>2</v>
          </cell>
          <cell r="E248">
            <v>2</v>
          </cell>
        </row>
        <row r="249">
          <cell r="B249" t="str">
            <v>GV2AF01</v>
          </cell>
          <cell r="D249">
            <v>64</v>
          </cell>
          <cell r="E249">
            <v>64</v>
          </cell>
        </row>
        <row r="250">
          <cell r="B250" t="str">
            <v>GV2AF3</v>
          </cell>
          <cell r="D250">
            <v>4</v>
          </cell>
          <cell r="E250">
            <v>4</v>
          </cell>
        </row>
        <row r="251">
          <cell r="B251" t="str">
            <v>GV2G554</v>
          </cell>
          <cell r="D251">
            <v>13</v>
          </cell>
          <cell r="E251">
            <v>13</v>
          </cell>
        </row>
        <row r="252">
          <cell r="B252" t="str">
            <v>GV2L16</v>
          </cell>
          <cell r="D252">
            <v>2</v>
          </cell>
          <cell r="E252">
            <v>2</v>
          </cell>
        </row>
        <row r="253">
          <cell r="B253" t="str">
            <v>GV2LE10</v>
          </cell>
          <cell r="D253">
            <v>2</v>
          </cell>
          <cell r="E253">
            <v>2</v>
          </cell>
        </row>
        <row r="254">
          <cell r="B254" t="str">
            <v>GV2ME02</v>
          </cell>
          <cell r="D254">
            <v>1</v>
          </cell>
          <cell r="E254">
            <v>1</v>
          </cell>
        </row>
        <row r="255">
          <cell r="B255" t="str">
            <v xml:space="preserve">GV2ME04 </v>
          </cell>
          <cell r="D255">
            <v>8</v>
          </cell>
          <cell r="E255">
            <v>8</v>
          </cell>
        </row>
        <row r="256">
          <cell r="B256" t="str">
            <v>GV2ME05</v>
          </cell>
          <cell r="D256">
            <v>6</v>
          </cell>
          <cell r="E256">
            <v>6</v>
          </cell>
        </row>
        <row r="257">
          <cell r="B257" t="str">
            <v xml:space="preserve">GV2ME06 </v>
          </cell>
          <cell r="D257">
            <v>21</v>
          </cell>
          <cell r="E257">
            <v>19</v>
          </cell>
          <cell r="F257">
            <v>2</v>
          </cell>
        </row>
        <row r="258">
          <cell r="B258" t="str">
            <v>GV2ME07</v>
          </cell>
          <cell r="D258">
            <v>91</v>
          </cell>
          <cell r="E258">
            <v>91</v>
          </cell>
        </row>
        <row r="259">
          <cell r="B259" t="str">
            <v>GV2ME08</v>
          </cell>
          <cell r="D259">
            <v>50</v>
          </cell>
          <cell r="E259">
            <v>45</v>
          </cell>
          <cell r="F259">
            <v>5</v>
          </cell>
        </row>
        <row r="260">
          <cell r="B260" t="str">
            <v>GV2ME10</v>
          </cell>
          <cell r="D260">
            <v>85</v>
          </cell>
          <cell r="E260">
            <v>85</v>
          </cell>
        </row>
        <row r="261">
          <cell r="B261" t="str">
            <v>GV2ME14</v>
          </cell>
          <cell r="D261">
            <v>32</v>
          </cell>
          <cell r="E261">
            <v>32</v>
          </cell>
        </row>
        <row r="262">
          <cell r="B262" t="str">
            <v xml:space="preserve">GV2ME16 </v>
          </cell>
          <cell r="D262">
            <v>20</v>
          </cell>
          <cell r="E262">
            <v>20</v>
          </cell>
        </row>
        <row r="263">
          <cell r="B263" t="str">
            <v>GV2ME20</v>
          </cell>
          <cell r="D263">
            <v>13</v>
          </cell>
          <cell r="E263">
            <v>13</v>
          </cell>
        </row>
        <row r="264">
          <cell r="B264" t="str">
            <v>GV2ME21</v>
          </cell>
          <cell r="D264">
            <v>8</v>
          </cell>
          <cell r="E264">
            <v>8</v>
          </cell>
        </row>
        <row r="265">
          <cell r="B265" t="str">
            <v>GV2ME32</v>
          </cell>
          <cell r="D265">
            <v>3</v>
          </cell>
          <cell r="E265">
            <v>3</v>
          </cell>
        </row>
        <row r="266">
          <cell r="B266" t="str">
            <v>GV2P10</v>
          </cell>
          <cell r="D266">
            <v>3</v>
          </cell>
          <cell r="E266">
            <v>3</v>
          </cell>
        </row>
        <row r="267">
          <cell r="B267" t="str">
            <v>GV2P14</v>
          </cell>
          <cell r="D267">
            <v>19</v>
          </cell>
          <cell r="E267">
            <v>19</v>
          </cell>
        </row>
        <row r="268">
          <cell r="B268" t="str">
            <v>GV2P16</v>
          </cell>
          <cell r="D268">
            <v>7</v>
          </cell>
          <cell r="E268">
            <v>7</v>
          </cell>
        </row>
        <row r="269">
          <cell r="B269" t="str">
            <v xml:space="preserve">GV2P20 </v>
          </cell>
          <cell r="D269">
            <v>2</v>
          </cell>
          <cell r="E269">
            <v>2</v>
          </cell>
        </row>
        <row r="270">
          <cell r="B270" t="str">
            <v>GV2P22</v>
          </cell>
          <cell r="D270">
            <v>4</v>
          </cell>
          <cell r="E270">
            <v>4</v>
          </cell>
        </row>
        <row r="271">
          <cell r="B271" t="str">
            <v>GV2RT07</v>
          </cell>
          <cell r="D271">
            <v>3</v>
          </cell>
          <cell r="E271">
            <v>3</v>
          </cell>
        </row>
        <row r="272">
          <cell r="B272" t="str">
            <v>GV2RT08</v>
          </cell>
          <cell r="D272">
            <v>4</v>
          </cell>
          <cell r="E272">
            <v>4</v>
          </cell>
        </row>
        <row r="273">
          <cell r="B273" t="str">
            <v>GV2RT10</v>
          </cell>
          <cell r="D273">
            <v>2</v>
          </cell>
          <cell r="E273">
            <v>2</v>
          </cell>
        </row>
        <row r="274">
          <cell r="B274" t="str">
            <v xml:space="preserve">GV2RT16 </v>
          </cell>
          <cell r="D274">
            <v>3</v>
          </cell>
          <cell r="E274">
            <v>3</v>
          </cell>
        </row>
        <row r="275">
          <cell r="B275" t="str">
            <v>GV3L65</v>
          </cell>
          <cell r="D275">
            <v>2</v>
          </cell>
          <cell r="E275">
            <v>2</v>
          </cell>
        </row>
        <row r="276">
          <cell r="B276" t="str">
            <v>GV3P25</v>
          </cell>
          <cell r="D276">
            <v>2</v>
          </cell>
          <cell r="E276">
            <v>2</v>
          </cell>
        </row>
        <row r="277">
          <cell r="B277" t="str">
            <v>GV3P32</v>
          </cell>
          <cell r="D277">
            <v>2</v>
          </cell>
          <cell r="E277">
            <v>2</v>
          </cell>
        </row>
        <row r="278">
          <cell r="B278" t="str">
            <v>GV3P40</v>
          </cell>
          <cell r="D278">
            <v>3</v>
          </cell>
          <cell r="E278">
            <v>3</v>
          </cell>
        </row>
        <row r="279">
          <cell r="B279" t="str">
            <v>GV3P401</v>
          </cell>
          <cell r="D279">
            <v>2</v>
          </cell>
          <cell r="E279">
            <v>2</v>
          </cell>
        </row>
        <row r="280">
          <cell r="B280" t="str">
            <v>GV3P506</v>
          </cell>
          <cell r="D280">
            <v>18</v>
          </cell>
          <cell r="E280">
            <v>18</v>
          </cell>
        </row>
        <row r="281">
          <cell r="B281" t="str">
            <v>GV3P65</v>
          </cell>
          <cell r="D281">
            <v>2</v>
          </cell>
          <cell r="E281">
            <v>2</v>
          </cell>
        </row>
        <row r="282">
          <cell r="B282" t="str">
            <v>GV4LE115N</v>
          </cell>
          <cell r="D282">
            <v>2</v>
          </cell>
          <cell r="E282">
            <v>2</v>
          </cell>
        </row>
        <row r="283">
          <cell r="B283" t="str">
            <v>GV4PE115S</v>
          </cell>
          <cell r="D283">
            <v>1</v>
          </cell>
          <cell r="E283">
            <v>1</v>
          </cell>
        </row>
        <row r="284">
          <cell r="B284" t="str">
            <v xml:space="preserve">GVAE11 </v>
          </cell>
          <cell r="D284">
            <v>139</v>
          </cell>
          <cell r="E284">
            <v>139</v>
          </cell>
        </row>
        <row r="285">
          <cell r="B285" t="str">
            <v>GVAE11TQ</v>
          </cell>
          <cell r="D285">
            <v>20</v>
          </cell>
          <cell r="E285">
            <v>20</v>
          </cell>
        </row>
        <row r="286">
          <cell r="B286" t="str">
            <v>GVAE20</v>
          </cell>
          <cell r="D286">
            <v>13</v>
          </cell>
          <cell r="E286">
            <v>13</v>
          </cell>
        </row>
        <row r="287">
          <cell r="B287" t="str">
            <v>GVAED011</v>
          </cell>
          <cell r="D287">
            <v>2</v>
          </cell>
          <cell r="E287">
            <v>2</v>
          </cell>
        </row>
        <row r="288">
          <cell r="B288" t="str">
            <v>GVAN11</v>
          </cell>
          <cell r="D288">
            <v>26</v>
          </cell>
          <cell r="E288">
            <v>26</v>
          </cell>
        </row>
        <row r="289">
          <cell r="B289" t="str">
            <v>GZ1 AN11</v>
          </cell>
          <cell r="D289">
            <v>6</v>
          </cell>
          <cell r="E289">
            <v>6</v>
          </cell>
        </row>
        <row r="290">
          <cell r="B290" t="str">
            <v>GZ1AN11</v>
          </cell>
          <cell r="D290">
            <v>27</v>
          </cell>
          <cell r="E290">
            <v>27</v>
          </cell>
        </row>
        <row r="291">
          <cell r="B291" t="str">
            <v>GZ1E04</v>
          </cell>
          <cell r="D291">
            <v>7</v>
          </cell>
          <cell r="E291">
            <v>7</v>
          </cell>
        </row>
        <row r="292">
          <cell r="B292" t="str">
            <v>GZ1E05</v>
          </cell>
          <cell r="D292">
            <v>3</v>
          </cell>
          <cell r="E292">
            <v>3</v>
          </cell>
        </row>
        <row r="293">
          <cell r="B293" t="str">
            <v>GZ1E06</v>
          </cell>
          <cell r="D293">
            <v>1</v>
          </cell>
          <cell r="E293">
            <v>1</v>
          </cell>
        </row>
        <row r="294">
          <cell r="B294" t="str">
            <v>GZ1E07</v>
          </cell>
          <cell r="D294">
            <v>4</v>
          </cell>
          <cell r="E294">
            <v>4</v>
          </cell>
        </row>
        <row r="295">
          <cell r="B295" t="str">
            <v>GZ1E08</v>
          </cell>
          <cell r="D295">
            <v>8</v>
          </cell>
          <cell r="E295">
            <v>8</v>
          </cell>
        </row>
        <row r="296">
          <cell r="B296" t="str">
            <v>GZ1E10</v>
          </cell>
          <cell r="D296">
            <v>13</v>
          </cell>
          <cell r="E296">
            <v>13</v>
          </cell>
        </row>
        <row r="297">
          <cell r="B297" t="str">
            <v xml:space="preserve">GZ1E16 </v>
          </cell>
          <cell r="D297">
            <v>1</v>
          </cell>
          <cell r="E297">
            <v>1</v>
          </cell>
        </row>
        <row r="298">
          <cell r="B298" t="str">
            <v xml:space="preserve">GZ1E20 </v>
          </cell>
          <cell r="D298">
            <v>3</v>
          </cell>
          <cell r="E298">
            <v>3</v>
          </cell>
        </row>
        <row r="299">
          <cell r="B299" t="str">
            <v>GZ1E21</v>
          </cell>
          <cell r="D299">
            <v>2</v>
          </cell>
          <cell r="E299">
            <v>2</v>
          </cell>
        </row>
        <row r="300">
          <cell r="B300" t="str">
            <v>GZ1E22</v>
          </cell>
          <cell r="D300">
            <v>1</v>
          </cell>
          <cell r="E300">
            <v>1</v>
          </cell>
        </row>
        <row r="301">
          <cell r="B301" t="str">
            <v>HMIET6400</v>
          </cell>
          <cell r="D301">
            <v>8</v>
          </cell>
          <cell r="E301">
            <v>8</v>
          </cell>
        </row>
        <row r="302">
          <cell r="B302" t="str">
            <v>HMIET6500</v>
          </cell>
          <cell r="D302">
            <v>13</v>
          </cell>
          <cell r="E302">
            <v>11</v>
          </cell>
          <cell r="F302">
            <v>2</v>
          </cell>
        </row>
        <row r="303">
          <cell r="B303" t="str">
            <v>IMT33158</v>
          </cell>
          <cell r="D303">
            <v>1</v>
          </cell>
          <cell r="E303">
            <v>1</v>
          </cell>
        </row>
        <row r="304">
          <cell r="B304" t="str">
            <v xml:space="preserve">K10B011UCH </v>
          </cell>
          <cell r="D304">
            <v>2</v>
          </cell>
          <cell r="E304">
            <v>2</v>
          </cell>
        </row>
        <row r="305">
          <cell r="B305" t="str">
            <v>K1B001UCH</v>
          </cell>
          <cell r="D305">
            <v>5</v>
          </cell>
          <cell r="E305">
            <v>5</v>
          </cell>
        </row>
        <row r="306">
          <cell r="B306" t="str">
            <v>K1D005T</v>
          </cell>
          <cell r="D306">
            <v>2</v>
          </cell>
          <cell r="E306">
            <v>2</v>
          </cell>
        </row>
        <row r="307">
          <cell r="B307" t="str">
            <v>KDC1H</v>
          </cell>
          <cell r="D307">
            <v>10</v>
          </cell>
          <cell r="E307">
            <v>10</v>
          </cell>
        </row>
        <row r="308">
          <cell r="B308" t="str">
            <v>LA1KN04</v>
          </cell>
          <cell r="D308">
            <v>2</v>
          </cell>
          <cell r="E308">
            <v>2</v>
          </cell>
        </row>
        <row r="309">
          <cell r="B309" t="str">
            <v>LA1KN11</v>
          </cell>
          <cell r="D309">
            <v>43</v>
          </cell>
          <cell r="E309">
            <v>33</v>
          </cell>
          <cell r="F309">
            <v>10</v>
          </cell>
        </row>
        <row r="310">
          <cell r="B310" t="str">
            <v>LA1KN22</v>
          </cell>
          <cell r="D310">
            <v>51</v>
          </cell>
          <cell r="E310">
            <v>51</v>
          </cell>
        </row>
        <row r="311">
          <cell r="B311" t="str">
            <v>LA4KC1B</v>
          </cell>
          <cell r="D311">
            <v>30</v>
          </cell>
          <cell r="E311">
            <v>30</v>
          </cell>
        </row>
        <row r="312">
          <cell r="B312" t="str">
            <v>LA4KE1B</v>
          </cell>
          <cell r="D312">
            <v>5</v>
          </cell>
          <cell r="E312">
            <v>5</v>
          </cell>
        </row>
        <row r="313">
          <cell r="B313" t="str">
            <v xml:space="preserve">LA5F400803 </v>
          </cell>
          <cell r="D313">
            <v>1</v>
          </cell>
          <cell r="E313">
            <v>1</v>
          </cell>
        </row>
        <row r="314">
          <cell r="B314" t="str">
            <v xml:space="preserve">LA5FH431 </v>
          </cell>
          <cell r="D314">
            <v>1</v>
          </cell>
          <cell r="E314">
            <v>1</v>
          </cell>
        </row>
        <row r="315">
          <cell r="B315" t="str">
            <v xml:space="preserve">LA9D11502 </v>
          </cell>
          <cell r="D315">
            <v>1</v>
          </cell>
          <cell r="E315">
            <v>1</v>
          </cell>
        </row>
        <row r="316">
          <cell r="B316" t="str">
            <v>LA9D115604</v>
          </cell>
          <cell r="D316">
            <v>2</v>
          </cell>
          <cell r="E316">
            <v>2</v>
          </cell>
        </row>
        <row r="317">
          <cell r="B317" t="str">
            <v xml:space="preserve">LA9G3801 </v>
          </cell>
          <cell r="D317">
            <v>6</v>
          </cell>
          <cell r="E317">
            <v>6</v>
          </cell>
        </row>
        <row r="318">
          <cell r="B318" t="str">
            <v>LA9G970</v>
          </cell>
          <cell r="D318">
            <v>2</v>
          </cell>
          <cell r="E318">
            <v>2</v>
          </cell>
        </row>
        <row r="319">
          <cell r="B319" t="str">
            <v xml:space="preserve">LAD4TBDL </v>
          </cell>
          <cell r="D319">
            <v>8</v>
          </cell>
          <cell r="E319">
            <v>8</v>
          </cell>
        </row>
        <row r="320">
          <cell r="B320" t="str">
            <v>LAD6K10M</v>
          </cell>
          <cell r="D320">
            <v>5</v>
          </cell>
          <cell r="E320">
            <v>5</v>
          </cell>
        </row>
        <row r="321">
          <cell r="B321" t="str">
            <v>LAD8N11</v>
          </cell>
          <cell r="D321">
            <v>3</v>
          </cell>
          <cell r="E321">
            <v>3</v>
          </cell>
        </row>
        <row r="322">
          <cell r="B322" t="str">
            <v>LAD96560</v>
          </cell>
          <cell r="D322">
            <v>2</v>
          </cell>
          <cell r="E322">
            <v>2</v>
          </cell>
        </row>
        <row r="323">
          <cell r="B323" t="str">
            <v>LAD9V2</v>
          </cell>
          <cell r="D323">
            <v>4</v>
          </cell>
          <cell r="E323">
            <v>4</v>
          </cell>
        </row>
        <row r="324">
          <cell r="B324" t="str">
            <v xml:space="preserve">LADN11 </v>
          </cell>
          <cell r="D324">
            <v>4</v>
          </cell>
          <cell r="E324">
            <v>4</v>
          </cell>
        </row>
        <row r="325">
          <cell r="B325" t="str">
            <v>LADN22</v>
          </cell>
          <cell r="D325">
            <v>4</v>
          </cell>
          <cell r="E325">
            <v>4</v>
          </cell>
        </row>
        <row r="326">
          <cell r="B326" t="str">
            <v>LADN31</v>
          </cell>
          <cell r="D326">
            <v>10</v>
          </cell>
          <cell r="E326">
            <v>10</v>
          </cell>
        </row>
        <row r="327">
          <cell r="B327" t="str">
            <v>LADR0</v>
          </cell>
          <cell r="D327">
            <v>2</v>
          </cell>
          <cell r="E327">
            <v>2</v>
          </cell>
        </row>
        <row r="328">
          <cell r="B328" t="str">
            <v>LADR2</v>
          </cell>
          <cell r="D328">
            <v>8</v>
          </cell>
          <cell r="E328">
            <v>8</v>
          </cell>
        </row>
        <row r="329">
          <cell r="B329" t="str">
            <v>LADT2</v>
          </cell>
          <cell r="D329">
            <v>9</v>
          </cell>
          <cell r="E329">
            <v>9</v>
          </cell>
        </row>
        <row r="330">
          <cell r="B330" t="str">
            <v>LAEM1</v>
          </cell>
          <cell r="D330">
            <v>3</v>
          </cell>
          <cell r="E330">
            <v>3</v>
          </cell>
        </row>
        <row r="331">
          <cell r="B331" t="str">
            <v>LAEN11</v>
          </cell>
          <cell r="D331">
            <v>2</v>
          </cell>
          <cell r="E331">
            <v>2</v>
          </cell>
        </row>
        <row r="332">
          <cell r="B332" t="str">
            <v>LAEP1</v>
          </cell>
          <cell r="D332">
            <v>3</v>
          </cell>
          <cell r="E332">
            <v>3</v>
          </cell>
        </row>
        <row r="333">
          <cell r="B333" t="str">
            <v>LAG8N113</v>
          </cell>
          <cell r="D333">
            <v>8</v>
          </cell>
          <cell r="E333">
            <v>8</v>
          </cell>
        </row>
        <row r="334">
          <cell r="B334" t="str">
            <v>LC1-E25 10 M5</v>
          </cell>
          <cell r="D334">
            <v>1</v>
          </cell>
          <cell r="E334">
            <v>1</v>
          </cell>
        </row>
        <row r="335">
          <cell r="B335" t="str">
            <v>LC1-E50 M5</v>
          </cell>
          <cell r="D335">
            <v>5</v>
          </cell>
          <cell r="E335">
            <v>5</v>
          </cell>
        </row>
        <row r="336">
          <cell r="B336" t="str">
            <v>LC1D093F7</v>
          </cell>
          <cell r="D336">
            <v>3</v>
          </cell>
          <cell r="E336">
            <v>3</v>
          </cell>
        </row>
        <row r="337">
          <cell r="B337" t="str">
            <v>LC1D098MD</v>
          </cell>
          <cell r="D337">
            <v>1</v>
          </cell>
          <cell r="E337">
            <v>1</v>
          </cell>
        </row>
        <row r="338">
          <cell r="B338" t="str">
            <v>LC1D09BD</v>
          </cell>
          <cell r="D338">
            <v>42</v>
          </cell>
          <cell r="E338">
            <v>42</v>
          </cell>
        </row>
        <row r="339">
          <cell r="B339" t="str">
            <v>LC1D09D7</v>
          </cell>
          <cell r="D339">
            <v>2</v>
          </cell>
          <cell r="E339">
            <v>2</v>
          </cell>
        </row>
        <row r="340">
          <cell r="B340" t="str">
            <v>LC1D09MD</v>
          </cell>
          <cell r="D340">
            <v>4</v>
          </cell>
          <cell r="E340">
            <v>4</v>
          </cell>
        </row>
        <row r="341">
          <cell r="B341" t="str">
            <v>LC1D09U7</v>
          </cell>
          <cell r="D341">
            <v>6</v>
          </cell>
          <cell r="E341">
            <v>6</v>
          </cell>
        </row>
        <row r="342">
          <cell r="B342" t="str">
            <v>LC1D115BD</v>
          </cell>
          <cell r="D342">
            <v>1</v>
          </cell>
          <cell r="E342">
            <v>1</v>
          </cell>
        </row>
        <row r="343">
          <cell r="B343" t="str">
            <v>LC1D115F7</v>
          </cell>
          <cell r="D343">
            <v>1</v>
          </cell>
          <cell r="E343">
            <v>1</v>
          </cell>
        </row>
        <row r="344">
          <cell r="B344" t="str">
            <v>LC1D115M7</v>
          </cell>
          <cell r="D344">
            <v>2</v>
          </cell>
          <cell r="E344">
            <v>2</v>
          </cell>
        </row>
        <row r="345">
          <cell r="B345" t="str">
            <v>LC1D128E7</v>
          </cell>
          <cell r="D345">
            <v>7</v>
          </cell>
          <cell r="E345">
            <v>7</v>
          </cell>
        </row>
        <row r="346">
          <cell r="B346" t="str">
            <v>LC1D12BD</v>
          </cell>
          <cell r="D346">
            <v>12</v>
          </cell>
          <cell r="E346">
            <v>12</v>
          </cell>
        </row>
        <row r="347">
          <cell r="B347" t="str">
            <v>LC1D12M7</v>
          </cell>
          <cell r="D347">
            <v>18</v>
          </cell>
          <cell r="E347">
            <v>18</v>
          </cell>
        </row>
        <row r="348">
          <cell r="B348" t="str">
            <v>LC1D12P7</v>
          </cell>
          <cell r="D348">
            <v>4</v>
          </cell>
          <cell r="E348">
            <v>4</v>
          </cell>
        </row>
        <row r="349">
          <cell r="B349" t="str">
            <v>LC1D183BD</v>
          </cell>
          <cell r="D349">
            <v>2</v>
          </cell>
          <cell r="E349">
            <v>2</v>
          </cell>
        </row>
        <row r="350">
          <cell r="B350" t="str">
            <v xml:space="preserve">LC1D183M7 </v>
          </cell>
          <cell r="D350">
            <v>1</v>
          </cell>
          <cell r="E350">
            <v>1</v>
          </cell>
        </row>
        <row r="351">
          <cell r="B351" t="str">
            <v>LC1D188BD</v>
          </cell>
          <cell r="D351">
            <v>1</v>
          </cell>
          <cell r="E351">
            <v>1</v>
          </cell>
        </row>
        <row r="352">
          <cell r="B352" t="str">
            <v>LC1D18BD</v>
          </cell>
          <cell r="D352">
            <v>1</v>
          </cell>
          <cell r="E352">
            <v>1</v>
          </cell>
        </row>
        <row r="353">
          <cell r="B353" t="str">
            <v>LC1D18F7</v>
          </cell>
          <cell r="D353">
            <v>20</v>
          </cell>
          <cell r="E353">
            <v>20</v>
          </cell>
        </row>
        <row r="354">
          <cell r="B354" t="str">
            <v xml:space="preserve">LC1D18M7 </v>
          </cell>
          <cell r="D354">
            <v>26</v>
          </cell>
          <cell r="E354">
            <v>26</v>
          </cell>
        </row>
        <row r="355">
          <cell r="B355" t="str">
            <v>LC1D258E7</v>
          </cell>
          <cell r="D355">
            <v>7</v>
          </cell>
          <cell r="E355">
            <v>7</v>
          </cell>
        </row>
        <row r="356">
          <cell r="B356" t="str">
            <v>LC1D25BD</v>
          </cell>
          <cell r="D356">
            <v>21</v>
          </cell>
          <cell r="E356">
            <v>21</v>
          </cell>
        </row>
        <row r="357">
          <cell r="B357" t="str">
            <v>LC1D25E7</v>
          </cell>
          <cell r="D357">
            <v>2</v>
          </cell>
          <cell r="E357">
            <v>2</v>
          </cell>
        </row>
        <row r="358">
          <cell r="B358" t="str">
            <v>LC1D25F7</v>
          </cell>
          <cell r="D358">
            <v>18</v>
          </cell>
          <cell r="E358">
            <v>18</v>
          </cell>
        </row>
        <row r="359">
          <cell r="B359" t="str">
            <v xml:space="preserve">LC1D25M7 </v>
          </cell>
          <cell r="D359">
            <v>41</v>
          </cell>
          <cell r="E359">
            <v>41</v>
          </cell>
        </row>
        <row r="360">
          <cell r="B360" t="str">
            <v>LC1D25P7</v>
          </cell>
          <cell r="D360">
            <v>5</v>
          </cell>
          <cell r="E360">
            <v>5</v>
          </cell>
        </row>
        <row r="361">
          <cell r="B361" t="str">
            <v xml:space="preserve">LC1D32BD </v>
          </cell>
          <cell r="D361">
            <v>1</v>
          </cell>
          <cell r="E361">
            <v>1</v>
          </cell>
        </row>
        <row r="362">
          <cell r="B362" t="str">
            <v>LC1D32E7</v>
          </cell>
          <cell r="D362">
            <v>2</v>
          </cell>
          <cell r="E362">
            <v>2</v>
          </cell>
        </row>
        <row r="363">
          <cell r="B363" t="str">
            <v>LC1D32F7</v>
          </cell>
          <cell r="D363">
            <v>3</v>
          </cell>
          <cell r="E363">
            <v>3</v>
          </cell>
        </row>
        <row r="364">
          <cell r="B364" t="str">
            <v>LC1D32M7</v>
          </cell>
          <cell r="D364">
            <v>21</v>
          </cell>
          <cell r="E364">
            <v>21</v>
          </cell>
        </row>
        <row r="365">
          <cell r="B365" t="str">
            <v>LC1D38E7</v>
          </cell>
          <cell r="D365">
            <v>2</v>
          </cell>
          <cell r="E365">
            <v>2</v>
          </cell>
        </row>
        <row r="366">
          <cell r="B366" t="str">
            <v>LC1D38KUE</v>
          </cell>
          <cell r="D366">
            <v>8</v>
          </cell>
          <cell r="E366">
            <v>8</v>
          </cell>
        </row>
        <row r="367">
          <cell r="B367" t="str">
            <v>LC1D40AF7</v>
          </cell>
          <cell r="D367">
            <v>6</v>
          </cell>
          <cell r="E367">
            <v>6</v>
          </cell>
        </row>
        <row r="368">
          <cell r="B368" t="str">
            <v>LC1D40AM7</v>
          </cell>
          <cell r="D368">
            <v>2</v>
          </cell>
          <cell r="E368">
            <v>2</v>
          </cell>
        </row>
        <row r="369">
          <cell r="B369" t="str">
            <v>LC1D40AQ7</v>
          </cell>
          <cell r="D369">
            <v>1</v>
          </cell>
          <cell r="E369">
            <v>1</v>
          </cell>
        </row>
        <row r="370">
          <cell r="B370" t="str">
            <v>LC1D65ABD</v>
          </cell>
          <cell r="D370">
            <v>1</v>
          </cell>
          <cell r="E370">
            <v>1</v>
          </cell>
        </row>
        <row r="371">
          <cell r="B371" t="str">
            <v>LC1D65AM7</v>
          </cell>
          <cell r="D371">
            <v>1</v>
          </cell>
          <cell r="E371">
            <v>1</v>
          </cell>
        </row>
        <row r="372">
          <cell r="B372" t="str">
            <v>LC1D65AM7TQ</v>
          </cell>
          <cell r="D372">
            <v>3</v>
          </cell>
          <cell r="E372">
            <v>3</v>
          </cell>
        </row>
        <row r="373">
          <cell r="B373" t="str">
            <v xml:space="preserve">LC1D80M7 </v>
          </cell>
          <cell r="D373">
            <v>7</v>
          </cell>
          <cell r="E373">
            <v>7</v>
          </cell>
        </row>
        <row r="374">
          <cell r="B374" t="str">
            <v>LC1D95M7</v>
          </cell>
          <cell r="D374">
            <v>5</v>
          </cell>
          <cell r="E374">
            <v>5</v>
          </cell>
        </row>
        <row r="375">
          <cell r="B375" t="str">
            <v>LC1DT25BL</v>
          </cell>
          <cell r="D375">
            <v>3</v>
          </cell>
          <cell r="E375">
            <v>3</v>
          </cell>
        </row>
        <row r="376">
          <cell r="B376" t="str">
            <v>LC1DT60AF7</v>
          </cell>
          <cell r="D376">
            <v>13</v>
          </cell>
          <cell r="E376">
            <v>13</v>
          </cell>
        </row>
        <row r="377">
          <cell r="B377" t="str">
            <v>LC1DWK12P7</v>
          </cell>
          <cell r="D377">
            <v>30</v>
          </cell>
          <cell r="E377">
            <v>30</v>
          </cell>
        </row>
        <row r="378">
          <cell r="B378" t="str">
            <v>LC1E0601M5</v>
          </cell>
          <cell r="D378">
            <v>10</v>
          </cell>
          <cell r="E378">
            <v>10</v>
          </cell>
        </row>
        <row r="379">
          <cell r="B379" t="str">
            <v>LC1E0610M5</v>
          </cell>
          <cell r="D379">
            <v>44</v>
          </cell>
          <cell r="E379">
            <v>44</v>
          </cell>
        </row>
        <row r="380">
          <cell r="B380" t="str">
            <v>LC1E1201M5</v>
          </cell>
          <cell r="D380">
            <v>10</v>
          </cell>
          <cell r="E380">
            <v>10</v>
          </cell>
        </row>
        <row r="381">
          <cell r="B381" t="str">
            <v>LC1E1210M5</v>
          </cell>
          <cell r="D381">
            <v>3</v>
          </cell>
          <cell r="E381">
            <v>3</v>
          </cell>
        </row>
        <row r="382">
          <cell r="B382" t="str">
            <v xml:space="preserve">LC1E250M5 </v>
          </cell>
          <cell r="D382">
            <v>6</v>
          </cell>
          <cell r="E382">
            <v>6</v>
          </cell>
        </row>
        <row r="383">
          <cell r="B383" t="str">
            <v xml:space="preserve">LC1E2510M5 </v>
          </cell>
          <cell r="D383">
            <v>5</v>
          </cell>
          <cell r="E383">
            <v>5</v>
          </cell>
        </row>
        <row r="384">
          <cell r="B384" t="str">
            <v>LC1E3210M5</v>
          </cell>
          <cell r="D384">
            <v>13</v>
          </cell>
          <cell r="E384">
            <v>13</v>
          </cell>
        </row>
        <row r="385">
          <cell r="B385" t="str">
            <v>LC1E50M5</v>
          </cell>
          <cell r="D385">
            <v>3</v>
          </cell>
          <cell r="E385">
            <v>3</v>
          </cell>
        </row>
        <row r="386">
          <cell r="B386" t="str">
            <v>LC1E65M5</v>
          </cell>
          <cell r="D386">
            <v>7</v>
          </cell>
          <cell r="E386">
            <v>7</v>
          </cell>
        </row>
        <row r="387">
          <cell r="B387" t="str">
            <v>LC1E80Q5</v>
          </cell>
          <cell r="D387">
            <v>1</v>
          </cell>
          <cell r="E387">
            <v>1</v>
          </cell>
        </row>
        <row r="388">
          <cell r="B388" t="str">
            <v>LC1G185KUEN</v>
          </cell>
          <cell r="D388">
            <v>2</v>
          </cell>
          <cell r="E388">
            <v>2</v>
          </cell>
        </row>
        <row r="389">
          <cell r="B389" t="str">
            <v>LC1G400KUEN</v>
          </cell>
          <cell r="D389">
            <v>4</v>
          </cell>
          <cell r="E389">
            <v>4</v>
          </cell>
        </row>
        <row r="390">
          <cell r="B390" t="str">
            <v xml:space="preserve">LC1K0610P7 </v>
          </cell>
          <cell r="D390">
            <v>103</v>
          </cell>
          <cell r="E390">
            <v>93</v>
          </cell>
          <cell r="F390">
            <v>10</v>
          </cell>
        </row>
        <row r="391">
          <cell r="B391" t="str">
            <v>LC1K09004F7</v>
          </cell>
          <cell r="D391">
            <v>2</v>
          </cell>
          <cell r="E391">
            <v>2</v>
          </cell>
        </row>
        <row r="392">
          <cell r="B392" t="str">
            <v xml:space="preserve">LC1K090085E7 </v>
          </cell>
          <cell r="D392">
            <v>6</v>
          </cell>
          <cell r="E392">
            <v>6</v>
          </cell>
        </row>
        <row r="393">
          <cell r="B393" t="str">
            <v>LC1K09008E7</v>
          </cell>
          <cell r="D393">
            <v>5</v>
          </cell>
          <cell r="E393">
            <v>5</v>
          </cell>
        </row>
        <row r="394">
          <cell r="B394" t="str">
            <v>LC1K0910P7</v>
          </cell>
          <cell r="D394">
            <v>64</v>
          </cell>
          <cell r="E394">
            <v>64</v>
          </cell>
        </row>
        <row r="395">
          <cell r="B395" t="str">
            <v>LC1K1201P7</v>
          </cell>
          <cell r="D395">
            <v>1</v>
          </cell>
          <cell r="E395">
            <v>1</v>
          </cell>
        </row>
        <row r="396">
          <cell r="B396" t="str">
            <v xml:space="preserve">LC1K1210P7 </v>
          </cell>
          <cell r="D396">
            <v>8</v>
          </cell>
          <cell r="E396">
            <v>8</v>
          </cell>
        </row>
        <row r="397">
          <cell r="B397" t="str">
            <v>LC1K1601E7</v>
          </cell>
          <cell r="D397">
            <v>2</v>
          </cell>
          <cell r="E397">
            <v>2</v>
          </cell>
        </row>
        <row r="398">
          <cell r="B398" t="str">
            <v>LC2D09M7</v>
          </cell>
          <cell r="D398">
            <v>2</v>
          </cell>
          <cell r="E398">
            <v>2</v>
          </cell>
        </row>
        <row r="399">
          <cell r="B399" t="str">
            <v>LC2D12E7</v>
          </cell>
          <cell r="D399">
            <v>5</v>
          </cell>
          <cell r="E399">
            <v>5</v>
          </cell>
        </row>
        <row r="400">
          <cell r="B400" t="str">
            <v>LC2D25E7</v>
          </cell>
          <cell r="D400">
            <v>4</v>
          </cell>
          <cell r="E400">
            <v>4</v>
          </cell>
        </row>
        <row r="401">
          <cell r="B401" t="str">
            <v>LC2D25M7</v>
          </cell>
          <cell r="D401">
            <v>3</v>
          </cell>
          <cell r="E401">
            <v>3</v>
          </cell>
        </row>
        <row r="402">
          <cell r="B402" t="str">
            <v>LC2D65AM7</v>
          </cell>
          <cell r="D402">
            <v>2</v>
          </cell>
          <cell r="E402">
            <v>2</v>
          </cell>
        </row>
        <row r="403">
          <cell r="B403" t="str">
            <v>LC2K0910D7</v>
          </cell>
          <cell r="D403">
            <v>2</v>
          </cell>
          <cell r="E403">
            <v>2</v>
          </cell>
        </row>
        <row r="404">
          <cell r="B404" t="str">
            <v>LC2K0910E7</v>
          </cell>
          <cell r="D404">
            <v>4</v>
          </cell>
          <cell r="E404">
            <v>4</v>
          </cell>
        </row>
        <row r="405">
          <cell r="B405" t="str">
            <v>LP1K0601BD</v>
          </cell>
          <cell r="D405">
            <v>10</v>
          </cell>
          <cell r="E405">
            <v>10</v>
          </cell>
        </row>
        <row r="406">
          <cell r="B406" t="str">
            <v>LP1K0610BD</v>
          </cell>
          <cell r="D406">
            <v>9</v>
          </cell>
          <cell r="E406">
            <v>9</v>
          </cell>
        </row>
        <row r="407">
          <cell r="B407" t="str">
            <v>LP1K0910BD3</v>
          </cell>
          <cell r="D407">
            <v>10</v>
          </cell>
          <cell r="E407">
            <v>10</v>
          </cell>
        </row>
        <row r="408">
          <cell r="B408" t="str">
            <v>LP4K09004BW3</v>
          </cell>
          <cell r="D408">
            <v>2</v>
          </cell>
          <cell r="E408">
            <v>2</v>
          </cell>
        </row>
        <row r="409">
          <cell r="B409" t="str">
            <v>LP4K0910BW3</v>
          </cell>
          <cell r="D409">
            <v>7</v>
          </cell>
          <cell r="E409">
            <v>7</v>
          </cell>
        </row>
        <row r="410">
          <cell r="B410" t="str">
            <v>LR2K0321</v>
          </cell>
          <cell r="D410">
            <v>1</v>
          </cell>
          <cell r="E410">
            <v>1</v>
          </cell>
        </row>
        <row r="411">
          <cell r="B411" t="str">
            <v>LRD05</v>
          </cell>
          <cell r="D411">
            <v>1</v>
          </cell>
          <cell r="E411">
            <v>1</v>
          </cell>
        </row>
        <row r="412">
          <cell r="B412" t="str">
            <v>LRD22</v>
          </cell>
          <cell r="D412">
            <v>14</v>
          </cell>
          <cell r="E412">
            <v>14</v>
          </cell>
        </row>
        <row r="413">
          <cell r="B413" t="str">
            <v>LRD32</v>
          </cell>
          <cell r="D413">
            <v>2</v>
          </cell>
          <cell r="E413">
            <v>2</v>
          </cell>
        </row>
        <row r="414">
          <cell r="B414" t="str">
            <v>LRD3365</v>
          </cell>
          <cell r="D414">
            <v>4</v>
          </cell>
          <cell r="E414">
            <v>4</v>
          </cell>
        </row>
        <row r="415">
          <cell r="B415" t="str">
            <v>LRD350</v>
          </cell>
          <cell r="D415">
            <v>1</v>
          </cell>
          <cell r="E415">
            <v>1</v>
          </cell>
        </row>
        <row r="416">
          <cell r="B416" t="str">
            <v>LRD365</v>
          </cell>
          <cell r="D416">
            <v>1</v>
          </cell>
          <cell r="E416">
            <v>1</v>
          </cell>
        </row>
        <row r="417">
          <cell r="B417" t="str">
            <v>LU2B12BL</v>
          </cell>
          <cell r="D417">
            <v>6</v>
          </cell>
          <cell r="E417">
            <v>6</v>
          </cell>
        </row>
        <row r="418">
          <cell r="B418" t="str">
            <v>LU2MB0BL</v>
          </cell>
          <cell r="D418">
            <v>2</v>
          </cell>
          <cell r="E418">
            <v>2</v>
          </cell>
        </row>
        <row r="419">
          <cell r="B419" t="str">
            <v>LU9BN11L</v>
          </cell>
          <cell r="D419">
            <v>1</v>
          </cell>
          <cell r="E419">
            <v>1</v>
          </cell>
        </row>
        <row r="420">
          <cell r="B420" t="str">
            <v>LU9M1</v>
          </cell>
          <cell r="D420">
            <v>2</v>
          </cell>
          <cell r="E420">
            <v>2</v>
          </cell>
        </row>
        <row r="421">
          <cell r="B421" t="str">
            <v>LU9MR1C</v>
          </cell>
          <cell r="D421">
            <v>2</v>
          </cell>
          <cell r="E421">
            <v>2</v>
          </cell>
        </row>
        <row r="422">
          <cell r="B422" t="str">
            <v>LUA1C20</v>
          </cell>
          <cell r="D422">
            <v>15</v>
          </cell>
          <cell r="E422">
            <v>15</v>
          </cell>
        </row>
        <row r="423">
          <cell r="B423" t="str">
            <v>LUB12</v>
          </cell>
          <cell r="D423">
            <v>5</v>
          </cell>
          <cell r="E423">
            <v>5</v>
          </cell>
        </row>
        <row r="424">
          <cell r="B424" t="str">
            <v xml:space="preserve">LUB12 </v>
          </cell>
          <cell r="D424">
            <v>6</v>
          </cell>
          <cell r="E424">
            <v>6</v>
          </cell>
        </row>
        <row r="425">
          <cell r="B425" t="str">
            <v xml:space="preserve">LUB32 </v>
          </cell>
          <cell r="D425">
            <v>3</v>
          </cell>
          <cell r="E425">
            <v>3</v>
          </cell>
        </row>
        <row r="426">
          <cell r="B426" t="str">
            <v>LUB320</v>
          </cell>
          <cell r="D426">
            <v>1</v>
          </cell>
          <cell r="E426">
            <v>1</v>
          </cell>
        </row>
        <row r="427">
          <cell r="B427" t="str">
            <v>LUCA12BL</v>
          </cell>
          <cell r="D427">
            <v>3</v>
          </cell>
          <cell r="E427">
            <v>3</v>
          </cell>
        </row>
        <row r="428">
          <cell r="B428" t="str">
            <v>LUCA12FU</v>
          </cell>
          <cell r="D428">
            <v>8</v>
          </cell>
          <cell r="E428">
            <v>8</v>
          </cell>
        </row>
        <row r="429">
          <cell r="B429" t="str">
            <v xml:space="preserve">LUCA1XBL </v>
          </cell>
          <cell r="D429">
            <v>6</v>
          </cell>
          <cell r="E429">
            <v>6</v>
          </cell>
        </row>
        <row r="430">
          <cell r="B430" t="str">
            <v>LUCAX6BL</v>
          </cell>
          <cell r="D430">
            <v>1</v>
          </cell>
          <cell r="E430">
            <v>1</v>
          </cell>
        </row>
        <row r="431">
          <cell r="B431" t="str">
            <v>LUCB05BL</v>
          </cell>
          <cell r="D431">
            <v>7</v>
          </cell>
          <cell r="E431">
            <v>7</v>
          </cell>
        </row>
        <row r="432">
          <cell r="B432" t="str">
            <v>LUCB12BL</v>
          </cell>
          <cell r="D432">
            <v>1</v>
          </cell>
          <cell r="E432">
            <v>1</v>
          </cell>
        </row>
        <row r="433">
          <cell r="B433" t="str">
            <v>LUCB18BL</v>
          </cell>
          <cell r="D433">
            <v>2</v>
          </cell>
          <cell r="E433">
            <v>2</v>
          </cell>
        </row>
        <row r="434">
          <cell r="B434" t="str">
            <v>LUCB1XBL</v>
          </cell>
          <cell r="D434">
            <v>1</v>
          </cell>
          <cell r="E434">
            <v>1</v>
          </cell>
        </row>
        <row r="435">
          <cell r="B435" t="str">
            <v>LUCB32BL</v>
          </cell>
          <cell r="D435">
            <v>1</v>
          </cell>
          <cell r="E435">
            <v>1</v>
          </cell>
        </row>
        <row r="436">
          <cell r="B436" t="str">
            <v xml:space="preserve">LUCD18BL </v>
          </cell>
          <cell r="D436">
            <v>1</v>
          </cell>
          <cell r="E436">
            <v>1</v>
          </cell>
        </row>
        <row r="437">
          <cell r="B437" t="str">
            <v>LUFN20</v>
          </cell>
          <cell r="D437">
            <v>2</v>
          </cell>
          <cell r="E437">
            <v>2</v>
          </cell>
        </row>
        <row r="438">
          <cell r="B438" t="str">
            <v>LULC15</v>
          </cell>
          <cell r="D438">
            <v>1</v>
          </cell>
          <cell r="E438">
            <v>1</v>
          </cell>
        </row>
        <row r="439">
          <cell r="B439" t="str">
            <v>LV429289</v>
          </cell>
          <cell r="D439">
            <v>3</v>
          </cell>
          <cell r="E439">
            <v>3</v>
          </cell>
        </row>
        <row r="440">
          <cell r="B440" t="str">
            <v>LV429330</v>
          </cell>
          <cell r="D440">
            <v>3</v>
          </cell>
          <cell r="E440">
            <v>3</v>
          </cell>
        </row>
        <row r="441">
          <cell r="B441" t="str">
            <v>LV429382</v>
          </cell>
          <cell r="D441">
            <v>1</v>
          </cell>
          <cell r="E441">
            <v>1</v>
          </cell>
        </row>
        <row r="442">
          <cell r="B442" t="str">
            <v>LV429387</v>
          </cell>
          <cell r="D442">
            <v>3</v>
          </cell>
          <cell r="E442">
            <v>3</v>
          </cell>
        </row>
        <row r="443">
          <cell r="B443" t="str">
            <v xml:space="preserve">LV429434 </v>
          </cell>
          <cell r="D443">
            <v>1</v>
          </cell>
          <cell r="E443">
            <v>1</v>
          </cell>
        </row>
        <row r="444">
          <cell r="B444" t="str">
            <v>LV429517</v>
          </cell>
          <cell r="D444">
            <v>4</v>
          </cell>
          <cell r="E444">
            <v>4</v>
          </cell>
        </row>
        <row r="445">
          <cell r="B445" t="str">
            <v>LV430630</v>
          </cell>
          <cell r="D445">
            <v>1</v>
          </cell>
          <cell r="E445">
            <v>1</v>
          </cell>
        </row>
        <row r="446">
          <cell r="B446" t="str">
            <v>LV431541</v>
          </cell>
          <cell r="D446">
            <v>2</v>
          </cell>
          <cell r="E446">
            <v>2</v>
          </cell>
        </row>
        <row r="447">
          <cell r="B447" t="str">
            <v>LV431563</v>
          </cell>
          <cell r="D447">
            <v>12</v>
          </cell>
          <cell r="E447">
            <v>12</v>
          </cell>
        </row>
        <row r="448">
          <cell r="B448" t="str">
            <v>LV432490</v>
          </cell>
          <cell r="D448">
            <v>2</v>
          </cell>
          <cell r="E448">
            <v>2</v>
          </cell>
        </row>
        <row r="449">
          <cell r="B449" t="str">
            <v>LV432492</v>
          </cell>
          <cell r="D449">
            <v>4</v>
          </cell>
          <cell r="E449">
            <v>4</v>
          </cell>
        </row>
        <row r="450">
          <cell r="B450" t="str">
            <v>LV432504</v>
          </cell>
          <cell r="D450">
            <v>1</v>
          </cell>
          <cell r="E450">
            <v>1</v>
          </cell>
        </row>
        <row r="451">
          <cell r="B451" t="str">
            <v xml:space="preserve">LV432516 </v>
          </cell>
          <cell r="D451">
            <v>1</v>
          </cell>
          <cell r="E451">
            <v>1</v>
          </cell>
        </row>
        <row r="452">
          <cell r="B452" t="str">
            <v>LV432518</v>
          </cell>
          <cell r="D452">
            <v>3</v>
          </cell>
          <cell r="E452">
            <v>3</v>
          </cell>
        </row>
        <row r="453">
          <cell r="B453" t="str">
            <v>LV432520</v>
          </cell>
          <cell r="D453">
            <v>1</v>
          </cell>
          <cell r="E453">
            <v>1</v>
          </cell>
        </row>
        <row r="454">
          <cell r="B454" t="str">
            <v>LV432532</v>
          </cell>
          <cell r="D454">
            <v>1</v>
          </cell>
          <cell r="E454">
            <v>1</v>
          </cell>
        </row>
        <row r="455">
          <cell r="B455" t="str">
            <v>LV432570</v>
          </cell>
          <cell r="D455">
            <v>1</v>
          </cell>
          <cell r="E455">
            <v>1</v>
          </cell>
        </row>
        <row r="456">
          <cell r="B456" t="str">
            <v>LV432578</v>
          </cell>
          <cell r="D456">
            <v>3</v>
          </cell>
          <cell r="E456">
            <v>3</v>
          </cell>
        </row>
        <row r="457">
          <cell r="B457" t="str">
            <v xml:space="preserve">LV432641 </v>
          </cell>
          <cell r="D457">
            <v>2</v>
          </cell>
          <cell r="E457">
            <v>2</v>
          </cell>
        </row>
        <row r="458">
          <cell r="B458" t="str">
            <v>LV525303</v>
          </cell>
          <cell r="D458">
            <v>1</v>
          </cell>
          <cell r="E458">
            <v>1</v>
          </cell>
        </row>
        <row r="459">
          <cell r="B459" t="str">
            <v>LVS03001</v>
          </cell>
          <cell r="D459">
            <v>93</v>
          </cell>
          <cell r="E459">
            <v>93</v>
          </cell>
        </row>
        <row r="460">
          <cell r="B460" t="str">
            <v>LVS03204</v>
          </cell>
          <cell r="D460">
            <v>93</v>
          </cell>
          <cell r="E460">
            <v>93</v>
          </cell>
        </row>
        <row r="461">
          <cell r="B461" t="str">
            <v>LVS03801</v>
          </cell>
          <cell r="D461">
            <v>31</v>
          </cell>
          <cell r="E461">
            <v>31</v>
          </cell>
        </row>
        <row r="462">
          <cell r="B462" t="str">
            <v>LVS03802</v>
          </cell>
          <cell r="D462">
            <v>31</v>
          </cell>
          <cell r="E462">
            <v>31</v>
          </cell>
        </row>
        <row r="463">
          <cell r="B463" t="str">
            <v>LVS03804</v>
          </cell>
          <cell r="D463">
            <v>31</v>
          </cell>
          <cell r="E463">
            <v>31</v>
          </cell>
        </row>
        <row r="464">
          <cell r="B464" t="str">
            <v>LVS08305</v>
          </cell>
          <cell r="D464">
            <v>34</v>
          </cell>
          <cell r="E464">
            <v>34</v>
          </cell>
        </row>
        <row r="465">
          <cell r="B465" t="str">
            <v xml:space="preserve">LVS08325 </v>
          </cell>
          <cell r="D465">
            <v>34</v>
          </cell>
          <cell r="E465">
            <v>34</v>
          </cell>
        </row>
        <row r="466">
          <cell r="B466" t="str">
            <v>LXM05AD57N4</v>
          </cell>
          <cell r="D466">
            <v>1</v>
          </cell>
          <cell r="E466">
            <v>1</v>
          </cell>
        </row>
        <row r="467">
          <cell r="B467" t="str">
            <v>MCSESU053FN0</v>
          </cell>
          <cell r="D467">
            <v>2</v>
          </cell>
          <cell r="E467">
            <v>2</v>
          </cell>
        </row>
        <row r="468">
          <cell r="B468" t="str">
            <v>METSEPM2220</v>
          </cell>
          <cell r="D468">
            <v>2</v>
          </cell>
          <cell r="E468">
            <v>2</v>
          </cell>
        </row>
        <row r="469">
          <cell r="B469" t="str">
            <v>NSYAEFPFSC</v>
          </cell>
          <cell r="D469">
            <v>4</v>
          </cell>
          <cell r="E469">
            <v>4</v>
          </cell>
        </row>
        <row r="470">
          <cell r="B470" t="str">
            <v xml:space="preserve">NSYAEFPFSC </v>
          </cell>
          <cell r="D470">
            <v>1</v>
          </cell>
          <cell r="E470">
            <v>1</v>
          </cell>
        </row>
        <row r="471">
          <cell r="B471" t="str">
            <v xml:space="preserve">NSYCAG125LPF </v>
          </cell>
          <cell r="D471">
            <v>10</v>
          </cell>
          <cell r="E471">
            <v>10</v>
          </cell>
        </row>
        <row r="472">
          <cell r="B472" t="str">
            <v>NSYCAG12LPH1</v>
          </cell>
          <cell r="D472">
            <v>46</v>
          </cell>
          <cell r="E472">
            <v>46</v>
          </cell>
        </row>
        <row r="473">
          <cell r="B473" t="str">
            <v>NSYCAG223LPF</v>
          </cell>
          <cell r="D473">
            <v>7</v>
          </cell>
          <cell r="E473">
            <v>7</v>
          </cell>
        </row>
        <row r="474">
          <cell r="B474" t="str">
            <v>NSYCCOTHC</v>
          </cell>
          <cell r="D474">
            <v>1</v>
          </cell>
          <cell r="E474">
            <v>1</v>
          </cell>
        </row>
        <row r="475">
          <cell r="B475" t="str">
            <v xml:space="preserve">NSYCCOTHO </v>
          </cell>
          <cell r="D475">
            <v>21</v>
          </cell>
          <cell r="E475">
            <v>21</v>
          </cell>
        </row>
        <row r="476">
          <cell r="B476" t="str">
            <v xml:space="preserve">NSYCRN33200P </v>
          </cell>
          <cell r="D476">
            <v>2</v>
          </cell>
          <cell r="E476">
            <v>2</v>
          </cell>
        </row>
        <row r="477">
          <cell r="B477" t="str">
            <v>NSYCRN55250</v>
          </cell>
          <cell r="D477">
            <v>1</v>
          </cell>
          <cell r="E477">
            <v>1</v>
          </cell>
        </row>
        <row r="478">
          <cell r="B478" t="str">
            <v>NSYCVF85M230PF</v>
          </cell>
          <cell r="D478">
            <v>7</v>
          </cell>
          <cell r="E478">
            <v>7</v>
          </cell>
        </row>
        <row r="479">
          <cell r="B479" t="str">
            <v>NSYCW44</v>
          </cell>
          <cell r="D479">
            <v>1</v>
          </cell>
          <cell r="E479">
            <v>1</v>
          </cell>
        </row>
        <row r="480">
          <cell r="B480" t="str">
            <v xml:space="preserve">NSYIN405E1 </v>
          </cell>
          <cell r="D480">
            <v>1</v>
          </cell>
          <cell r="E480">
            <v>1</v>
          </cell>
        </row>
        <row r="481">
          <cell r="B481" t="str">
            <v>NSYINLCRN</v>
          </cell>
          <cell r="D481">
            <v>1</v>
          </cell>
          <cell r="E481">
            <v>1</v>
          </cell>
        </row>
        <row r="482">
          <cell r="B482" t="str">
            <v>NSYLAM8T5</v>
          </cell>
          <cell r="D482">
            <v>1</v>
          </cell>
          <cell r="E482">
            <v>1</v>
          </cell>
        </row>
        <row r="483">
          <cell r="B483" t="str">
            <v>NSYLAMT5LD1</v>
          </cell>
          <cell r="D483">
            <v>1</v>
          </cell>
          <cell r="E483">
            <v>1</v>
          </cell>
        </row>
        <row r="484">
          <cell r="B484" t="str">
            <v>NSYPLA1073G</v>
          </cell>
          <cell r="D484">
            <v>1</v>
          </cell>
          <cell r="E484">
            <v>1</v>
          </cell>
        </row>
        <row r="485">
          <cell r="B485" t="str">
            <v>NSYPMM107</v>
          </cell>
          <cell r="D485">
            <v>1</v>
          </cell>
          <cell r="E485">
            <v>1</v>
          </cell>
        </row>
        <row r="486">
          <cell r="B486" t="str">
            <v>NSYS3D10640P</v>
          </cell>
          <cell r="D486">
            <v>1</v>
          </cell>
          <cell r="E486">
            <v>1</v>
          </cell>
        </row>
        <row r="487">
          <cell r="B487" t="str">
            <v xml:space="preserve">NSYS3D3315P </v>
          </cell>
          <cell r="D487">
            <v>1</v>
          </cell>
          <cell r="E487">
            <v>1</v>
          </cell>
        </row>
        <row r="488">
          <cell r="B488" t="str">
            <v>NSYS3D7525P</v>
          </cell>
          <cell r="D488">
            <v>4</v>
          </cell>
          <cell r="E488">
            <v>3</v>
          </cell>
          <cell r="F488">
            <v>1</v>
          </cell>
        </row>
        <row r="489">
          <cell r="B489" t="str">
            <v>NSYS3D8620P</v>
          </cell>
          <cell r="D489">
            <v>1</v>
          </cell>
          <cell r="E489">
            <v>1</v>
          </cell>
        </row>
        <row r="490">
          <cell r="B490" t="str">
            <v>NSYS3D8630P</v>
          </cell>
          <cell r="D490">
            <v>3</v>
          </cell>
          <cell r="E490">
            <v>3</v>
          </cell>
        </row>
        <row r="491">
          <cell r="B491" t="str">
            <v>NSYS3X3215H</v>
          </cell>
          <cell r="D491">
            <v>1</v>
          </cell>
          <cell r="E491">
            <v>1</v>
          </cell>
        </row>
        <row r="492">
          <cell r="B492" t="str">
            <v>NSYSBM203012</v>
          </cell>
          <cell r="D492">
            <v>2</v>
          </cell>
          <cell r="E492">
            <v>2</v>
          </cell>
        </row>
        <row r="493">
          <cell r="B493" t="str">
            <v>NSYSBM304012</v>
          </cell>
          <cell r="D493">
            <v>4</v>
          </cell>
          <cell r="E493">
            <v>3</v>
          </cell>
          <cell r="F493">
            <v>1</v>
          </cell>
        </row>
        <row r="494">
          <cell r="B494" t="str">
            <v>NSYSBM406012</v>
          </cell>
          <cell r="D494">
            <v>1</v>
          </cell>
          <cell r="E494">
            <v>1</v>
          </cell>
        </row>
        <row r="495">
          <cell r="B495" t="str">
            <v>NSYSDR200BD</v>
          </cell>
          <cell r="D495">
            <v>1</v>
          </cell>
          <cell r="E495">
            <v>1</v>
          </cell>
        </row>
        <row r="496">
          <cell r="B496" t="str">
            <v xml:space="preserve">NSYSM16830P </v>
          </cell>
          <cell r="D496">
            <v>1</v>
          </cell>
          <cell r="E496">
            <v>1</v>
          </cell>
        </row>
        <row r="497">
          <cell r="B497" t="str">
            <v>NSYSM18640P</v>
          </cell>
          <cell r="D497">
            <v>2</v>
          </cell>
          <cell r="E497">
            <v>2</v>
          </cell>
        </row>
        <row r="498">
          <cell r="B498" t="str">
            <v xml:space="preserve">NSYSMEB </v>
          </cell>
          <cell r="D498">
            <v>1</v>
          </cell>
          <cell r="E498">
            <v>1</v>
          </cell>
        </row>
        <row r="499">
          <cell r="B499" t="str">
            <v>NSYSPF6100</v>
          </cell>
          <cell r="D499">
            <v>2</v>
          </cell>
          <cell r="E499">
            <v>2</v>
          </cell>
        </row>
        <row r="500">
          <cell r="B500" t="str">
            <v xml:space="preserve">NSYSPF8100 2 </v>
          </cell>
          <cell r="D500">
            <v>1</v>
          </cell>
          <cell r="E500">
            <v>1</v>
          </cell>
        </row>
        <row r="501">
          <cell r="B501" t="str">
            <v xml:space="preserve">NSYSPS3100 </v>
          </cell>
          <cell r="D501">
            <v>1</v>
          </cell>
          <cell r="E501">
            <v>1</v>
          </cell>
        </row>
        <row r="502">
          <cell r="B502" t="str">
            <v xml:space="preserve">NSYSPS4100 </v>
          </cell>
          <cell r="D502">
            <v>2</v>
          </cell>
          <cell r="E502">
            <v>2</v>
          </cell>
        </row>
        <row r="503">
          <cell r="B503" t="str">
            <v>NSYTPV</v>
          </cell>
          <cell r="D503">
            <v>1</v>
          </cell>
          <cell r="E503">
            <v>1</v>
          </cell>
        </row>
        <row r="504">
          <cell r="B504" t="str">
            <v>NSYTRAB510</v>
          </cell>
          <cell r="D504">
            <v>10</v>
          </cell>
          <cell r="E504">
            <v>10</v>
          </cell>
        </row>
        <row r="505">
          <cell r="B505" t="str">
            <v>R9C30116</v>
          </cell>
          <cell r="D505">
            <v>5</v>
          </cell>
          <cell r="E505">
            <v>5</v>
          </cell>
        </row>
        <row r="506">
          <cell r="B506" t="str">
            <v>R9D81616</v>
          </cell>
          <cell r="D506">
            <v>3</v>
          </cell>
          <cell r="E506">
            <v>3</v>
          </cell>
        </row>
        <row r="507">
          <cell r="B507" t="str">
            <v>R9F12106</v>
          </cell>
          <cell r="D507">
            <v>12</v>
          </cell>
          <cell r="E507">
            <v>12</v>
          </cell>
        </row>
        <row r="508">
          <cell r="B508" t="str">
            <v>R9F12110</v>
          </cell>
          <cell r="D508">
            <v>48</v>
          </cell>
          <cell r="E508">
            <v>48</v>
          </cell>
        </row>
        <row r="509">
          <cell r="B509" t="str">
            <v>R9F12116</v>
          </cell>
          <cell r="D509">
            <v>108</v>
          </cell>
          <cell r="E509">
            <v>97</v>
          </cell>
          <cell r="F509">
            <v>11</v>
          </cell>
        </row>
        <row r="510">
          <cell r="B510" t="str">
            <v>R9F12125</v>
          </cell>
          <cell r="D510">
            <v>12</v>
          </cell>
          <cell r="E510">
            <v>4</v>
          </cell>
          <cell r="F510">
            <v>8</v>
          </cell>
        </row>
        <row r="511">
          <cell r="B511" t="str">
            <v>R9F12320</v>
          </cell>
          <cell r="D511">
            <v>36</v>
          </cell>
          <cell r="E511">
            <v>36</v>
          </cell>
        </row>
        <row r="512">
          <cell r="B512" t="str">
            <v>R9F12325</v>
          </cell>
          <cell r="D512">
            <v>36</v>
          </cell>
          <cell r="E512">
            <v>36</v>
          </cell>
        </row>
        <row r="513">
          <cell r="B513" t="str">
            <v>RE17RCMU</v>
          </cell>
          <cell r="D513">
            <v>4</v>
          </cell>
          <cell r="E513">
            <v>4</v>
          </cell>
        </row>
        <row r="514">
          <cell r="B514" t="str">
            <v xml:space="preserve">RE22R1CMR </v>
          </cell>
          <cell r="D514">
            <v>1</v>
          </cell>
          <cell r="E514">
            <v>1</v>
          </cell>
        </row>
        <row r="515">
          <cell r="B515" t="str">
            <v xml:space="preserve">RE22R1MAMR </v>
          </cell>
          <cell r="D515">
            <v>2</v>
          </cell>
          <cell r="E515">
            <v>2</v>
          </cell>
        </row>
        <row r="516">
          <cell r="B516" t="str">
            <v xml:space="preserve">RE22R2AMR </v>
          </cell>
          <cell r="D516">
            <v>2</v>
          </cell>
          <cell r="E516">
            <v>2</v>
          </cell>
        </row>
        <row r="517">
          <cell r="B517" t="str">
            <v>RE22R2QGMR</v>
          </cell>
          <cell r="D517">
            <v>5</v>
          </cell>
          <cell r="E517">
            <v>5</v>
          </cell>
        </row>
        <row r="518">
          <cell r="B518" t="str">
            <v>RM17UAS16</v>
          </cell>
          <cell r="D518">
            <v>2</v>
          </cell>
          <cell r="E518">
            <v>2</v>
          </cell>
        </row>
        <row r="519">
          <cell r="B519" t="str">
            <v>RM22LG11MR</v>
          </cell>
          <cell r="D519">
            <v>8</v>
          </cell>
          <cell r="E519">
            <v>8</v>
          </cell>
        </row>
        <row r="520">
          <cell r="B520" t="str">
            <v>RM22TR33</v>
          </cell>
          <cell r="D520">
            <v>8</v>
          </cell>
          <cell r="E520">
            <v>8</v>
          </cell>
        </row>
        <row r="521">
          <cell r="B521" t="str">
            <v xml:space="preserve">RM35JA32MR </v>
          </cell>
          <cell r="D521">
            <v>2</v>
          </cell>
          <cell r="E521">
            <v>2</v>
          </cell>
        </row>
        <row r="522">
          <cell r="B522" t="str">
            <v>RM35TF30</v>
          </cell>
          <cell r="D522">
            <v>5</v>
          </cell>
          <cell r="E522">
            <v>5</v>
          </cell>
        </row>
        <row r="523">
          <cell r="B523" t="str">
            <v>RPM12P7</v>
          </cell>
          <cell r="D523">
            <v>5</v>
          </cell>
          <cell r="E523">
            <v>5</v>
          </cell>
        </row>
        <row r="524">
          <cell r="B524" t="str">
            <v>RPZF1</v>
          </cell>
          <cell r="D524">
            <v>5</v>
          </cell>
          <cell r="E524">
            <v>5</v>
          </cell>
        </row>
        <row r="525">
          <cell r="B525" t="str">
            <v>RSB2A080BDPV</v>
          </cell>
          <cell r="D525">
            <v>30</v>
          </cell>
          <cell r="E525">
            <v>30</v>
          </cell>
        </row>
        <row r="526">
          <cell r="B526" t="str">
            <v>RSB2A080BDS</v>
          </cell>
          <cell r="D526">
            <v>5</v>
          </cell>
          <cell r="E526">
            <v>5</v>
          </cell>
        </row>
        <row r="527">
          <cell r="B527" t="str">
            <v>RSL1AB4BD</v>
          </cell>
          <cell r="D527">
            <v>10</v>
          </cell>
          <cell r="E527">
            <v>10</v>
          </cell>
        </row>
        <row r="528">
          <cell r="B528" t="str">
            <v>RSL1PVBU</v>
          </cell>
          <cell r="D528">
            <v>50</v>
          </cell>
          <cell r="E528">
            <v>50</v>
          </cell>
        </row>
        <row r="529">
          <cell r="B529" t="str">
            <v xml:space="preserve">RSZE1S48M </v>
          </cell>
          <cell r="D529">
            <v>10</v>
          </cell>
          <cell r="E529">
            <v>10</v>
          </cell>
        </row>
        <row r="530">
          <cell r="B530" t="str">
            <v>RXG22BD</v>
          </cell>
          <cell r="D530">
            <v>3</v>
          </cell>
          <cell r="E530">
            <v>3</v>
          </cell>
        </row>
        <row r="531">
          <cell r="B531" t="str">
            <v>RXG22BDPV</v>
          </cell>
          <cell r="D531">
            <v>30</v>
          </cell>
          <cell r="E531">
            <v>30</v>
          </cell>
        </row>
        <row r="532">
          <cell r="B532" t="str">
            <v>RXM2AB2BDPVM</v>
          </cell>
          <cell r="D532">
            <v>30</v>
          </cell>
          <cell r="E532">
            <v>30</v>
          </cell>
        </row>
        <row r="533">
          <cell r="B533" t="str">
            <v>RXM3AB2BD</v>
          </cell>
          <cell r="D533">
            <v>44</v>
          </cell>
          <cell r="E533">
            <v>44</v>
          </cell>
        </row>
        <row r="534">
          <cell r="B534" t="str">
            <v>RXM3AB2P7</v>
          </cell>
          <cell r="D534">
            <v>24</v>
          </cell>
          <cell r="E534">
            <v>24</v>
          </cell>
        </row>
        <row r="535">
          <cell r="B535" t="str">
            <v>RXM4AB1BD</v>
          </cell>
          <cell r="D535">
            <v>17</v>
          </cell>
          <cell r="E535">
            <v>12</v>
          </cell>
          <cell r="F535">
            <v>5</v>
          </cell>
        </row>
        <row r="536">
          <cell r="B536" t="str">
            <v>RXM4AB1P7</v>
          </cell>
          <cell r="D536">
            <v>7</v>
          </cell>
          <cell r="E536">
            <v>7</v>
          </cell>
        </row>
        <row r="537">
          <cell r="B537" t="str">
            <v>RXM4AB2BD</v>
          </cell>
          <cell r="D537">
            <v>31</v>
          </cell>
          <cell r="E537">
            <v>31</v>
          </cell>
        </row>
        <row r="538">
          <cell r="B538" t="str">
            <v xml:space="preserve">RXM4AB2F7 </v>
          </cell>
          <cell r="D538">
            <v>15</v>
          </cell>
          <cell r="E538">
            <v>15</v>
          </cell>
        </row>
        <row r="539">
          <cell r="B539" t="str">
            <v>RXM4AB2FD</v>
          </cell>
          <cell r="D539">
            <v>5</v>
          </cell>
          <cell r="E539">
            <v>5</v>
          </cell>
        </row>
        <row r="540">
          <cell r="B540" t="str">
            <v>RXM4AB2P7</v>
          </cell>
          <cell r="D540">
            <v>22</v>
          </cell>
          <cell r="E540">
            <v>22</v>
          </cell>
        </row>
        <row r="541">
          <cell r="B541" t="str">
            <v>RXM4AB2P7PVS</v>
          </cell>
          <cell r="D541">
            <v>3</v>
          </cell>
          <cell r="E541">
            <v>3</v>
          </cell>
        </row>
        <row r="542">
          <cell r="B542" t="str">
            <v>RXZ400</v>
          </cell>
          <cell r="D542">
            <v>10</v>
          </cell>
          <cell r="E542">
            <v>10</v>
          </cell>
        </row>
        <row r="543">
          <cell r="B543" t="str">
            <v>RXZE2M114M</v>
          </cell>
          <cell r="D543">
            <v>60</v>
          </cell>
          <cell r="E543">
            <v>60</v>
          </cell>
        </row>
        <row r="544">
          <cell r="B544" t="str">
            <v xml:space="preserve">RXZE2S111M </v>
          </cell>
          <cell r="D544">
            <v>48</v>
          </cell>
          <cell r="E544">
            <v>48</v>
          </cell>
        </row>
        <row r="545">
          <cell r="B545" t="str">
            <v>RXZE2S114M</v>
          </cell>
          <cell r="D545">
            <v>30</v>
          </cell>
          <cell r="E545">
            <v>20</v>
          </cell>
          <cell r="F545">
            <v>10</v>
          </cell>
        </row>
        <row r="546">
          <cell r="B546" t="str">
            <v>RZM021FP</v>
          </cell>
          <cell r="D546">
            <v>4</v>
          </cell>
          <cell r="E546">
            <v>4</v>
          </cell>
        </row>
        <row r="547">
          <cell r="B547" t="str">
            <v>RZM031BN</v>
          </cell>
          <cell r="D547">
            <v>2</v>
          </cell>
          <cell r="E547">
            <v>2</v>
          </cell>
        </row>
        <row r="548">
          <cell r="B548" t="str">
            <v>SD326DU25S2</v>
          </cell>
          <cell r="D548">
            <v>1</v>
          </cell>
          <cell r="E548">
            <v>1</v>
          </cell>
        </row>
        <row r="549">
          <cell r="B549" t="str">
            <v>SDD111022</v>
          </cell>
          <cell r="D549">
            <v>44</v>
          </cell>
          <cell r="E549">
            <v>44</v>
          </cell>
        </row>
        <row r="550">
          <cell r="B550" t="str">
            <v>SDD111101</v>
          </cell>
          <cell r="D550">
            <v>8</v>
          </cell>
          <cell r="E550">
            <v>8</v>
          </cell>
        </row>
        <row r="551">
          <cell r="B551" t="str">
            <v>SDD111105</v>
          </cell>
          <cell r="D551">
            <v>22</v>
          </cell>
          <cell r="E551">
            <v>22</v>
          </cell>
        </row>
        <row r="552">
          <cell r="B552" t="str">
            <v>SDD111107</v>
          </cell>
          <cell r="D552">
            <v>4</v>
          </cell>
          <cell r="E552">
            <v>4</v>
          </cell>
        </row>
        <row r="553">
          <cell r="B553" t="str">
            <v>SDD311801</v>
          </cell>
          <cell r="D553">
            <v>5</v>
          </cell>
          <cell r="E553">
            <v>5</v>
          </cell>
        </row>
        <row r="554">
          <cell r="B554" t="str">
            <v>SDD311802</v>
          </cell>
          <cell r="D554">
            <v>22</v>
          </cell>
          <cell r="E554">
            <v>22</v>
          </cell>
        </row>
        <row r="555">
          <cell r="B555" t="str">
            <v>SDD311803</v>
          </cell>
          <cell r="D555">
            <v>2</v>
          </cell>
          <cell r="E555">
            <v>2</v>
          </cell>
        </row>
        <row r="556">
          <cell r="B556" t="str">
            <v>SDD311804</v>
          </cell>
          <cell r="D556">
            <v>1</v>
          </cell>
          <cell r="E556">
            <v>1</v>
          </cell>
        </row>
        <row r="557">
          <cell r="B557" t="str">
            <v>SH070/60030/0/1/00/00/00/</v>
          </cell>
          <cell r="D557">
            <v>1</v>
          </cell>
          <cell r="E557">
            <v>1</v>
          </cell>
        </row>
        <row r="558">
          <cell r="B558" t="str">
            <v>SR2B201BD</v>
          </cell>
          <cell r="D558">
            <v>2</v>
          </cell>
          <cell r="E558">
            <v>2</v>
          </cell>
        </row>
        <row r="559">
          <cell r="B559" t="str">
            <v xml:space="preserve">SR2CBL09 </v>
          </cell>
          <cell r="D559">
            <v>2</v>
          </cell>
          <cell r="E559">
            <v>2</v>
          </cell>
        </row>
        <row r="560">
          <cell r="B560" t="str">
            <v>SR2MOD02</v>
          </cell>
          <cell r="D560">
            <v>1</v>
          </cell>
          <cell r="E560">
            <v>1</v>
          </cell>
        </row>
        <row r="561">
          <cell r="B561" t="str">
            <v>SR3B261B</v>
          </cell>
          <cell r="D561">
            <v>1</v>
          </cell>
          <cell r="E561">
            <v>1</v>
          </cell>
        </row>
        <row r="562">
          <cell r="B562" t="str">
            <v>SR3B261BD</v>
          </cell>
          <cell r="D562">
            <v>1</v>
          </cell>
          <cell r="E562">
            <v>1</v>
          </cell>
        </row>
        <row r="563">
          <cell r="B563" t="str">
            <v>SR3B262BD</v>
          </cell>
          <cell r="D563">
            <v>1</v>
          </cell>
          <cell r="E563">
            <v>1</v>
          </cell>
        </row>
        <row r="564">
          <cell r="B564" t="str">
            <v>SR3MBU01BD</v>
          </cell>
          <cell r="D564">
            <v>1</v>
          </cell>
          <cell r="E564">
            <v>1</v>
          </cell>
        </row>
        <row r="565">
          <cell r="B565" t="str">
            <v>SR3XT43BD</v>
          </cell>
          <cell r="D565">
            <v>1</v>
          </cell>
          <cell r="E565">
            <v>1</v>
          </cell>
        </row>
        <row r="566">
          <cell r="B566" t="str">
            <v xml:space="preserve">SRI990-BIQS7EAA-R </v>
          </cell>
          <cell r="D566">
            <v>2</v>
          </cell>
          <cell r="E566">
            <v>2</v>
          </cell>
        </row>
        <row r="567">
          <cell r="B567" t="str">
            <v>SSL1A12BDR</v>
          </cell>
          <cell r="D567">
            <v>12</v>
          </cell>
          <cell r="E567">
            <v>12</v>
          </cell>
        </row>
        <row r="568">
          <cell r="B568" t="str">
            <v>SSM1D212BD</v>
          </cell>
          <cell r="D568">
            <v>2</v>
          </cell>
          <cell r="E568">
            <v>2</v>
          </cell>
        </row>
        <row r="569">
          <cell r="B569" t="str">
            <v>SSP1A450BDT</v>
          </cell>
          <cell r="D569">
            <v>2</v>
          </cell>
          <cell r="E569">
            <v>2</v>
          </cell>
        </row>
        <row r="570">
          <cell r="B570" t="str">
            <v>SSP1A475BDT</v>
          </cell>
          <cell r="D570">
            <v>1</v>
          </cell>
          <cell r="E570">
            <v>1</v>
          </cell>
        </row>
        <row r="571">
          <cell r="B571" t="str">
            <v>ST9433W</v>
          </cell>
          <cell r="D571">
            <v>4</v>
          </cell>
          <cell r="E571">
            <v>4</v>
          </cell>
        </row>
        <row r="572">
          <cell r="B572" t="str">
            <v>ST943U1W</v>
          </cell>
          <cell r="D572">
            <v>4</v>
          </cell>
          <cell r="E572">
            <v>4</v>
          </cell>
        </row>
        <row r="573">
          <cell r="B573" t="str">
            <v>STBART0200K</v>
          </cell>
          <cell r="D573">
            <v>1</v>
          </cell>
          <cell r="E573">
            <v>1</v>
          </cell>
        </row>
        <row r="574">
          <cell r="B574" t="str">
            <v xml:space="preserve">TCSMCNAM3M002P </v>
          </cell>
          <cell r="D574">
            <v>6</v>
          </cell>
          <cell r="E574">
            <v>6</v>
          </cell>
        </row>
        <row r="575">
          <cell r="B575" t="str">
            <v>TM1SHTCC4</v>
          </cell>
          <cell r="D575">
            <v>1</v>
          </cell>
          <cell r="E575">
            <v>1</v>
          </cell>
        </row>
        <row r="576">
          <cell r="B576" t="str">
            <v>TM3DQ8T</v>
          </cell>
          <cell r="D576">
            <v>1</v>
          </cell>
          <cell r="E576">
            <v>1</v>
          </cell>
        </row>
        <row r="577">
          <cell r="B577" t="str">
            <v>TSXAEY1600</v>
          </cell>
          <cell r="D577">
            <v>2</v>
          </cell>
          <cell r="E577">
            <v>2</v>
          </cell>
        </row>
        <row r="578">
          <cell r="B578" t="str">
            <v>TWDLMDA40DTK</v>
          </cell>
          <cell r="D578">
            <v>1</v>
          </cell>
          <cell r="F578">
            <v>1</v>
          </cell>
        </row>
        <row r="579">
          <cell r="B579" t="str">
            <v>VBD1</v>
          </cell>
          <cell r="D579">
            <v>2</v>
          </cell>
          <cell r="E579">
            <v>2</v>
          </cell>
        </row>
        <row r="580">
          <cell r="B580" t="str">
            <v>VCCD0</v>
          </cell>
          <cell r="D580">
            <v>1</v>
          </cell>
          <cell r="E580">
            <v>1</v>
          </cell>
        </row>
        <row r="581">
          <cell r="B581" t="str">
            <v>VCDN12</v>
          </cell>
          <cell r="D581">
            <v>2</v>
          </cell>
          <cell r="E581">
            <v>2</v>
          </cell>
        </row>
        <row r="582">
          <cell r="B582" t="str">
            <v>VCDN20</v>
          </cell>
          <cell r="D582">
            <v>2</v>
          </cell>
          <cell r="E582">
            <v>2</v>
          </cell>
        </row>
        <row r="583">
          <cell r="B583" t="str">
            <v>VCF01GE</v>
          </cell>
          <cell r="D583">
            <v>20</v>
          </cell>
          <cell r="E583">
            <v>20</v>
          </cell>
        </row>
        <row r="584">
          <cell r="B584" t="str">
            <v>VCF1GE</v>
          </cell>
          <cell r="D584">
            <v>10</v>
          </cell>
          <cell r="E584">
            <v>10</v>
          </cell>
        </row>
        <row r="585">
          <cell r="B585" t="str">
            <v>VCF2</v>
          </cell>
          <cell r="D585">
            <v>9</v>
          </cell>
          <cell r="E585">
            <v>9</v>
          </cell>
        </row>
        <row r="586">
          <cell r="B586" t="str">
            <v>VCF3</v>
          </cell>
          <cell r="D586">
            <v>8</v>
          </cell>
          <cell r="E586">
            <v>8</v>
          </cell>
        </row>
        <row r="587">
          <cell r="B587" t="str">
            <v xml:space="preserve">VW3A1006 </v>
          </cell>
          <cell r="D587">
            <v>1</v>
          </cell>
          <cell r="E587">
            <v>1</v>
          </cell>
        </row>
        <row r="588">
          <cell r="B588" t="str">
            <v>VW3A3202</v>
          </cell>
          <cell r="D588">
            <v>1</v>
          </cell>
          <cell r="E588">
            <v>1</v>
          </cell>
        </row>
        <row r="589">
          <cell r="B589" t="str">
            <v>VW3A3307</v>
          </cell>
          <cell r="D589">
            <v>1</v>
          </cell>
          <cell r="E589">
            <v>1</v>
          </cell>
        </row>
        <row r="590">
          <cell r="B590" t="str">
            <v>VW3A3616</v>
          </cell>
          <cell r="D590">
            <v>1</v>
          </cell>
          <cell r="E590">
            <v>1</v>
          </cell>
        </row>
        <row r="591">
          <cell r="B591" t="str">
            <v>VW3A3620</v>
          </cell>
          <cell r="D591">
            <v>1</v>
          </cell>
          <cell r="E591">
            <v>1</v>
          </cell>
        </row>
        <row r="592">
          <cell r="B592" t="str">
            <v>VW3A3627</v>
          </cell>
          <cell r="D592">
            <v>9</v>
          </cell>
          <cell r="E592">
            <v>9</v>
          </cell>
        </row>
        <row r="593">
          <cell r="B593" t="str">
            <v>VZ3V1212</v>
          </cell>
          <cell r="D593">
            <v>1</v>
          </cell>
          <cell r="E593">
            <v>1</v>
          </cell>
        </row>
        <row r="594">
          <cell r="B594" t="str">
            <v xml:space="preserve">VZ7 </v>
          </cell>
          <cell r="D594">
            <v>31</v>
          </cell>
          <cell r="E594">
            <v>31</v>
          </cell>
        </row>
        <row r="595">
          <cell r="B595" t="str">
            <v xml:space="preserve">WDE000510 </v>
          </cell>
          <cell r="D595">
            <v>31</v>
          </cell>
          <cell r="E595">
            <v>31</v>
          </cell>
        </row>
        <row r="596">
          <cell r="B596" t="str">
            <v xml:space="preserve">WDE000525 </v>
          </cell>
          <cell r="D596">
            <v>10</v>
          </cell>
          <cell r="E596">
            <v>10</v>
          </cell>
        </row>
        <row r="597">
          <cell r="B597" t="str">
            <v>WDE000543</v>
          </cell>
          <cell r="D597">
            <v>40</v>
          </cell>
          <cell r="E597">
            <v>40</v>
          </cell>
        </row>
        <row r="598">
          <cell r="B598" t="str">
            <v>XA2EW36B1</v>
          </cell>
          <cell r="D598">
            <v>20</v>
          </cell>
          <cell r="E598">
            <v>20</v>
          </cell>
        </row>
        <row r="599">
          <cell r="B599" t="str">
            <v>XACA671</v>
          </cell>
          <cell r="D599">
            <v>3</v>
          </cell>
          <cell r="E599">
            <v>3</v>
          </cell>
        </row>
        <row r="600">
          <cell r="B600" t="str">
            <v>XACA691</v>
          </cell>
          <cell r="D600">
            <v>1</v>
          </cell>
          <cell r="E600">
            <v>1</v>
          </cell>
        </row>
        <row r="601">
          <cell r="B601" t="str">
            <v>XACB9111</v>
          </cell>
          <cell r="D601">
            <v>2</v>
          </cell>
          <cell r="E601">
            <v>2</v>
          </cell>
        </row>
        <row r="602">
          <cell r="B602" t="str">
            <v>XACB9112</v>
          </cell>
          <cell r="D602">
            <v>10</v>
          </cell>
          <cell r="E602">
            <v>10</v>
          </cell>
        </row>
        <row r="603">
          <cell r="B603" t="str">
            <v xml:space="preserve">XACS101 </v>
          </cell>
          <cell r="D603">
            <v>25</v>
          </cell>
          <cell r="E603">
            <v>25</v>
          </cell>
        </row>
        <row r="604">
          <cell r="B604" t="str">
            <v>XACV06</v>
          </cell>
          <cell r="D604">
            <v>5</v>
          </cell>
          <cell r="E604">
            <v>3</v>
          </cell>
          <cell r="F604">
            <v>2</v>
          </cell>
        </row>
        <row r="605">
          <cell r="B605" t="str">
            <v>XALD02</v>
          </cell>
          <cell r="D605">
            <v>5</v>
          </cell>
          <cell r="E605">
            <v>5</v>
          </cell>
        </row>
        <row r="606">
          <cell r="B606" t="str">
            <v>XALD03</v>
          </cell>
          <cell r="D606">
            <v>5</v>
          </cell>
          <cell r="E606">
            <v>5</v>
          </cell>
        </row>
        <row r="607">
          <cell r="B607" t="str">
            <v>XALD213</v>
          </cell>
          <cell r="D607">
            <v>4</v>
          </cell>
          <cell r="E607">
            <v>4</v>
          </cell>
        </row>
        <row r="608">
          <cell r="B608" t="str">
            <v>XALK178E</v>
          </cell>
          <cell r="D608">
            <v>10</v>
          </cell>
          <cell r="E608">
            <v>10</v>
          </cell>
        </row>
        <row r="609">
          <cell r="B609" t="str">
            <v>XALK178G</v>
          </cell>
          <cell r="D609">
            <v>11</v>
          </cell>
          <cell r="E609">
            <v>11</v>
          </cell>
        </row>
        <row r="610">
          <cell r="B610" t="str">
            <v xml:space="preserve">XAPM1201 </v>
          </cell>
          <cell r="D610">
            <v>4</v>
          </cell>
          <cell r="E610">
            <v>4</v>
          </cell>
        </row>
        <row r="611">
          <cell r="B611" t="str">
            <v>XB4BA21</v>
          </cell>
          <cell r="D611">
            <v>13</v>
          </cell>
          <cell r="E611">
            <v>13</v>
          </cell>
        </row>
        <row r="612">
          <cell r="B612" t="str">
            <v>XB4BA31</v>
          </cell>
          <cell r="D612">
            <v>4</v>
          </cell>
          <cell r="E612">
            <v>4</v>
          </cell>
        </row>
        <row r="613">
          <cell r="B613" t="str">
            <v>XB4BA3311</v>
          </cell>
          <cell r="D613">
            <v>10</v>
          </cell>
          <cell r="E613">
            <v>10</v>
          </cell>
        </row>
        <row r="614">
          <cell r="B614" t="str">
            <v xml:space="preserve">XB4BA3341 </v>
          </cell>
          <cell r="D614">
            <v>1</v>
          </cell>
          <cell r="E614">
            <v>1</v>
          </cell>
        </row>
        <row r="615">
          <cell r="B615" t="str">
            <v>XB4BA3351</v>
          </cell>
          <cell r="D615">
            <v>1</v>
          </cell>
          <cell r="E615">
            <v>1</v>
          </cell>
        </row>
        <row r="616">
          <cell r="B616" t="str">
            <v xml:space="preserve">XB4BA42 </v>
          </cell>
          <cell r="D616">
            <v>9</v>
          </cell>
          <cell r="E616">
            <v>9</v>
          </cell>
        </row>
        <row r="617">
          <cell r="B617" t="str">
            <v>XB4BA4322</v>
          </cell>
          <cell r="D617">
            <v>10</v>
          </cell>
          <cell r="E617">
            <v>10</v>
          </cell>
        </row>
        <row r="618">
          <cell r="B618" t="str">
            <v>XB4BA51</v>
          </cell>
          <cell r="D618">
            <v>21</v>
          </cell>
          <cell r="E618">
            <v>21</v>
          </cell>
        </row>
        <row r="619">
          <cell r="B619" t="str">
            <v>XB4BA61</v>
          </cell>
          <cell r="D619">
            <v>3</v>
          </cell>
          <cell r="E619">
            <v>3</v>
          </cell>
        </row>
        <row r="620">
          <cell r="B620" t="str">
            <v xml:space="preserve">XB4BD25 </v>
          </cell>
          <cell r="D620">
            <v>9</v>
          </cell>
          <cell r="E620">
            <v>9</v>
          </cell>
        </row>
        <row r="621">
          <cell r="B621" t="str">
            <v>XB4BD33</v>
          </cell>
          <cell r="D621">
            <v>41</v>
          </cell>
          <cell r="E621">
            <v>41</v>
          </cell>
        </row>
        <row r="622">
          <cell r="B622" t="str">
            <v>XB4BD53</v>
          </cell>
          <cell r="D622">
            <v>18</v>
          </cell>
          <cell r="E622">
            <v>18</v>
          </cell>
        </row>
        <row r="623">
          <cell r="B623" t="str">
            <v>XB4BD912R10K</v>
          </cell>
          <cell r="D623">
            <v>5</v>
          </cell>
          <cell r="E623">
            <v>5</v>
          </cell>
        </row>
        <row r="624">
          <cell r="B624" t="str">
            <v>XB4BG21</v>
          </cell>
          <cell r="D624">
            <v>85</v>
          </cell>
          <cell r="E624">
            <v>55</v>
          </cell>
          <cell r="F624">
            <v>30</v>
          </cell>
        </row>
        <row r="625">
          <cell r="B625" t="str">
            <v xml:space="preserve">XB4BJ21 </v>
          </cell>
          <cell r="D625">
            <v>5</v>
          </cell>
          <cell r="E625">
            <v>5</v>
          </cell>
        </row>
        <row r="626">
          <cell r="B626" t="str">
            <v>XB4BJ33</v>
          </cell>
          <cell r="D626">
            <v>15</v>
          </cell>
          <cell r="E626">
            <v>15</v>
          </cell>
        </row>
        <row r="627">
          <cell r="B627" t="str">
            <v>XB4BK125B5</v>
          </cell>
          <cell r="D627">
            <v>3</v>
          </cell>
          <cell r="E627">
            <v>3</v>
          </cell>
        </row>
        <row r="628">
          <cell r="B628" t="str">
            <v>XB4BK133B5</v>
          </cell>
          <cell r="D628">
            <v>1</v>
          </cell>
          <cell r="E628">
            <v>1</v>
          </cell>
        </row>
        <row r="629">
          <cell r="B629" t="str">
            <v>XB4BP21</v>
          </cell>
          <cell r="D629">
            <v>58</v>
          </cell>
          <cell r="E629">
            <v>58</v>
          </cell>
        </row>
        <row r="630">
          <cell r="B630" t="str">
            <v>XB4BP31</v>
          </cell>
          <cell r="D630">
            <v>24</v>
          </cell>
          <cell r="E630">
            <v>24</v>
          </cell>
        </row>
        <row r="631">
          <cell r="B631" t="str">
            <v>XB4BP42</v>
          </cell>
          <cell r="D631">
            <v>52</v>
          </cell>
          <cell r="E631">
            <v>52</v>
          </cell>
        </row>
        <row r="632">
          <cell r="B632" t="str">
            <v>XB4BP51</v>
          </cell>
          <cell r="D632">
            <v>3</v>
          </cell>
          <cell r="E632">
            <v>3</v>
          </cell>
        </row>
        <row r="633">
          <cell r="B633" t="str">
            <v xml:space="preserve">XB4BS8442 </v>
          </cell>
          <cell r="D633">
            <v>44</v>
          </cell>
          <cell r="E633">
            <v>44</v>
          </cell>
        </row>
        <row r="634">
          <cell r="B634" t="str">
            <v>XB4BS84441</v>
          </cell>
          <cell r="D634">
            <v>30</v>
          </cell>
          <cell r="E634">
            <v>30</v>
          </cell>
        </row>
        <row r="635">
          <cell r="B635" t="str">
            <v xml:space="preserve">XB4BS8445 </v>
          </cell>
          <cell r="D635">
            <v>30</v>
          </cell>
          <cell r="E635">
            <v>30</v>
          </cell>
        </row>
        <row r="636">
          <cell r="B636" t="str">
            <v xml:space="preserve">XB4BV45 </v>
          </cell>
          <cell r="D636">
            <v>1</v>
          </cell>
          <cell r="E636">
            <v>1</v>
          </cell>
        </row>
        <row r="637">
          <cell r="B637" t="str">
            <v xml:space="preserve">XB4BVB3 </v>
          </cell>
          <cell r="D637">
            <v>16</v>
          </cell>
          <cell r="E637">
            <v>16</v>
          </cell>
        </row>
        <row r="638">
          <cell r="B638" t="str">
            <v>XB4BVB4</v>
          </cell>
          <cell r="D638">
            <v>4</v>
          </cell>
          <cell r="E638">
            <v>4</v>
          </cell>
        </row>
        <row r="639">
          <cell r="B639" t="str">
            <v>XB4BVB5</v>
          </cell>
          <cell r="D639">
            <v>4</v>
          </cell>
          <cell r="E639">
            <v>4</v>
          </cell>
        </row>
        <row r="640">
          <cell r="B640" t="str">
            <v>XB4BVM1</v>
          </cell>
          <cell r="D640">
            <v>17</v>
          </cell>
          <cell r="E640">
            <v>17</v>
          </cell>
        </row>
        <row r="641">
          <cell r="B641" t="str">
            <v>XB4BVM3</v>
          </cell>
          <cell r="D641">
            <v>57</v>
          </cell>
          <cell r="E641">
            <v>57</v>
          </cell>
        </row>
        <row r="642">
          <cell r="B642" t="str">
            <v>XB4BVM4</v>
          </cell>
          <cell r="D642">
            <v>31</v>
          </cell>
          <cell r="E642">
            <v>31</v>
          </cell>
        </row>
        <row r="643">
          <cell r="B643" t="str">
            <v>XB4BW31B5</v>
          </cell>
          <cell r="D643">
            <v>11</v>
          </cell>
          <cell r="E643">
            <v>11</v>
          </cell>
        </row>
        <row r="644">
          <cell r="B644" t="str">
            <v>XB4BW33B5</v>
          </cell>
          <cell r="D644">
            <v>4</v>
          </cell>
          <cell r="E644">
            <v>4</v>
          </cell>
        </row>
        <row r="645">
          <cell r="B645" t="str">
            <v>XB4BW3465</v>
          </cell>
          <cell r="D645">
            <v>2</v>
          </cell>
          <cell r="E645">
            <v>2</v>
          </cell>
        </row>
        <row r="646">
          <cell r="B646" t="str">
            <v>XB4BW73731M5</v>
          </cell>
          <cell r="D646">
            <v>15</v>
          </cell>
          <cell r="E646">
            <v>15</v>
          </cell>
        </row>
        <row r="647">
          <cell r="B647" t="str">
            <v xml:space="preserve">XB5AA25 </v>
          </cell>
          <cell r="D647">
            <v>3</v>
          </cell>
          <cell r="E647">
            <v>3</v>
          </cell>
        </row>
        <row r="648">
          <cell r="B648" t="str">
            <v>XB5AA31</v>
          </cell>
          <cell r="D648">
            <v>4</v>
          </cell>
          <cell r="E648">
            <v>4</v>
          </cell>
        </row>
        <row r="649">
          <cell r="B649" t="str">
            <v>XB5AA3311</v>
          </cell>
          <cell r="D649">
            <v>9</v>
          </cell>
          <cell r="E649">
            <v>9</v>
          </cell>
        </row>
        <row r="650">
          <cell r="B650" t="str">
            <v xml:space="preserve">XB5AA42 </v>
          </cell>
          <cell r="D650">
            <v>10</v>
          </cell>
          <cell r="E650">
            <v>10</v>
          </cell>
        </row>
        <row r="651">
          <cell r="B651" t="str">
            <v>XB5AA4322</v>
          </cell>
          <cell r="D651">
            <v>4</v>
          </cell>
          <cell r="E651">
            <v>4</v>
          </cell>
        </row>
        <row r="652">
          <cell r="B652" t="str">
            <v>XB5AD21</v>
          </cell>
          <cell r="D652">
            <v>35</v>
          </cell>
          <cell r="E652">
            <v>29</v>
          </cell>
          <cell r="F652">
            <v>6</v>
          </cell>
        </row>
        <row r="653">
          <cell r="B653" t="str">
            <v xml:space="preserve">XB5AD23 </v>
          </cell>
          <cell r="D653">
            <v>5</v>
          </cell>
          <cell r="E653">
            <v>5</v>
          </cell>
        </row>
        <row r="654">
          <cell r="B654" t="str">
            <v>XB5AD33</v>
          </cell>
          <cell r="D654">
            <v>9</v>
          </cell>
          <cell r="E654">
            <v>7</v>
          </cell>
          <cell r="F654">
            <v>2</v>
          </cell>
        </row>
        <row r="655">
          <cell r="B655" t="str">
            <v>XB5AD53</v>
          </cell>
          <cell r="D655">
            <v>4</v>
          </cell>
          <cell r="E655">
            <v>4</v>
          </cell>
        </row>
        <row r="656">
          <cell r="B656" t="str">
            <v>XB5AD912R10K</v>
          </cell>
          <cell r="D656">
            <v>5</v>
          </cell>
          <cell r="E656">
            <v>5</v>
          </cell>
        </row>
        <row r="657">
          <cell r="B657" t="str">
            <v>XB5AD912R4K7</v>
          </cell>
          <cell r="D657">
            <v>17</v>
          </cell>
          <cell r="E657">
            <v>17</v>
          </cell>
        </row>
        <row r="658">
          <cell r="B658" t="str">
            <v>XB5AG21</v>
          </cell>
          <cell r="D658">
            <v>7</v>
          </cell>
          <cell r="E658">
            <v>7</v>
          </cell>
        </row>
        <row r="659">
          <cell r="B659" t="str">
            <v>XB5AK123M5</v>
          </cell>
          <cell r="D659">
            <v>5</v>
          </cell>
          <cell r="E659">
            <v>5</v>
          </cell>
        </row>
        <row r="660">
          <cell r="B660" t="str">
            <v>XB5AS8442</v>
          </cell>
          <cell r="D660">
            <v>2</v>
          </cell>
          <cell r="E660">
            <v>2</v>
          </cell>
        </row>
        <row r="661">
          <cell r="B661" t="str">
            <v>XB5AS8445</v>
          </cell>
          <cell r="D661">
            <v>17</v>
          </cell>
          <cell r="E661">
            <v>17</v>
          </cell>
        </row>
        <row r="662">
          <cell r="B662" t="str">
            <v xml:space="preserve">XB5AVG1 </v>
          </cell>
          <cell r="D662">
            <v>10</v>
          </cell>
          <cell r="E662">
            <v>10</v>
          </cell>
        </row>
        <row r="663">
          <cell r="B663" t="str">
            <v>XB5AVM3</v>
          </cell>
          <cell r="D663">
            <v>10</v>
          </cell>
          <cell r="E663">
            <v>10</v>
          </cell>
        </row>
        <row r="664">
          <cell r="B664" t="str">
            <v>XB5AW33B5</v>
          </cell>
          <cell r="D664">
            <v>24</v>
          </cell>
          <cell r="E664">
            <v>24</v>
          </cell>
        </row>
        <row r="665">
          <cell r="B665" t="str">
            <v>XB5AW34M5</v>
          </cell>
          <cell r="D665">
            <v>20</v>
          </cell>
          <cell r="E665">
            <v>20</v>
          </cell>
        </row>
        <row r="666">
          <cell r="B666" t="str">
            <v>XB5EVB8</v>
          </cell>
          <cell r="D666">
            <v>1</v>
          </cell>
          <cell r="E666">
            <v>1</v>
          </cell>
        </row>
        <row r="667">
          <cell r="B667" t="str">
            <v>XB5KS2B4</v>
          </cell>
          <cell r="D667">
            <v>13</v>
          </cell>
          <cell r="E667">
            <v>13</v>
          </cell>
        </row>
        <row r="668">
          <cell r="B668" t="str">
            <v xml:space="preserve">XB5KSM </v>
          </cell>
          <cell r="D668">
            <v>5</v>
          </cell>
          <cell r="E668">
            <v>5</v>
          </cell>
        </row>
        <row r="669">
          <cell r="B669" t="str">
            <v>XB7EV03MP3</v>
          </cell>
          <cell r="D669">
            <v>2</v>
          </cell>
          <cell r="E669">
            <v>2</v>
          </cell>
        </row>
        <row r="670">
          <cell r="B670" t="str">
            <v>XB7EV04MP</v>
          </cell>
          <cell r="D670">
            <v>5</v>
          </cell>
          <cell r="E670">
            <v>5</v>
          </cell>
        </row>
        <row r="671">
          <cell r="B671" t="str">
            <v>XB7EV07MP</v>
          </cell>
          <cell r="D671">
            <v>16</v>
          </cell>
          <cell r="E671">
            <v>16</v>
          </cell>
        </row>
        <row r="672">
          <cell r="B672" t="str">
            <v>XB7EV63P</v>
          </cell>
          <cell r="D672">
            <v>7</v>
          </cell>
          <cell r="E672">
            <v>7</v>
          </cell>
        </row>
        <row r="673">
          <cell r="B673" t="str">
            <v>XB7EV64P</v>
          </cell>
          <cell r="D673">
            <v>7</v>
          </cell>
          <cell r="E673">
            <v>7</v>
          </cell>
        </row>
        <row r="674">
          <cell r="B674" t="str">
            <v>XB7NA3133</v>
          </cell>
          <cell r="D674">
            <v>2</v>
          </cell>
          <cell r="E674">
            <v>2</v>
          </cell>
        </row>
        <row r="675">
          <cell r="B675" t="str">
            <v xml:space="preserve">XB7NA42 </v>
          </cell>
          <cell r="D675">
            <v>7</v>
          </cell>
          <cell r="E675">
            <v>7</v>
          </cell>
        </row>
        <row r="676">
          <cell r="B676" t="str">
            <v>XB7NA4234</v>
          </cell>
          <cell r="D676">
            <v>2</v>
          </cell>
          <cell r="E676">
            <v>2</v>
          </cell>
        </row>
        <row r="677">
          <cell r="B677" t="str">
            <v>XB7ND25</v>
          </cell>
          <cell r="D677">
            <v>2</v>
          </cell>
          <cell r="E677">
            <v>2</v>
          </cell>
        </row>
        <row r="678">
          <cell r="B678" t="str">
            <v>XB7NS8444</v>
          </cell>
          <cell r="D678">
            <v>10</v>
          </cell>
          <cell r="E678">
            <v>10</v>
          </cell>
        </row>
        <row r="679">
          <cell r="B679" t="str">
            <v>XB7NW33B1</v>
          </cell>
          <cell r="D679">
            <v>7</v>
          </cell>
          <cell r="E679">
            <v>7</v>
          </cell>
        </row>
        <row r="680">
          <cell r="B680" t="str">
            <v>XB7NW33M1</v>
          </cell>
          <cell r="D680">
            <v>2</v>
          </cell>
          <cell r="E680">
            <v>2</v>
          </cell>
        </row>
        <row r="681">
          <cell r="B681" t="str">
            <v>XBH1AA0G4</v>
          </cell>
          <cell r="D681">
            <v>5</v>
          </cell>
          <cell r="E681">
            <v>5</v>
          </cell>
        </row>
        <row r="682">
          <cell r="B682" t="str">
            <v>XBH1AA0R4</v>
          </cell>
          <cell r="D682">
            <v>11</v>
          </cell>
          <cell r="E682">
            <v>11</v>
          </cell>
        </row>
        <row r="683">
          <cell r="B683" t="str">
            <v>XBTN401</v>
          </cell>
          <cell r="D683">
            <v>1</v>
          </cell>
          <cell r="E683">
            <v>1</v>
          </cell>
        </row>
        <row r="684">
          <cell r="B684" t="str">
            <v>XBTR411</v>
          </cell>
          <cell r="D684">
            <v>1</v>
          </cell>
          <cell r="E684">
            <v>1</v>
          </cell>
        </row>
        <row r="685">
          <cell r="B685" t="str">
            <v>XCKN2110G11</v>
          </cell>
          <cell r="D685">
            <v>3</v>
          </cell>
          <cell r="E685">
            <v>3</v>
          </cell>
        </row>
        <row r="686">
          <cell r="B686" t="str">
            <v>XCKN2118P20</v>
          </cell>
          <cell r="D686">
            <v>1</v>
          </cell>
          <cell r="E686">
            <v>1</v>
          </cell>
        </row>
        <row r="687">
          <cell r="B687" t="str">
            <v>XCKP2102P16</v>
          </cell>
          <cell r="D687">
            <v>3</v>
          </cell>
          <cell r="E687">
            <v>3</v>
          </cell>
        </row>
        <row r="688">
          <cell r="B688" t="str">
            <v xml:space="preserve">XCSA702 </v>
          </cell>
          <cell r="D688">
            <v>1</v>
          </cell>
          <cell r="E688">
            <v>1</v>
          </cell>
        </row>
        <row r="689">
          <cell r="B689" t="str">
            <v>XCSDMP7002</v>
          </cell>
          <cell r="D689">
            <v>2</v>
          </cell>
          <cell r="E689">
            <v>2</v>
          </cell>
        </row>
        <row r="690">
          <cell r="B690" t="str">
            <v xml:space="preserve">XCSDMP701L01M12 </v>
          </cell>
          <cell r="D690">
            <v>1</v>
          </cell>
          <cell r="E690">
            <v>1</v>
          </cell>
        </row>
        <row r="691">
          <cell r="B691" t="str">
            <v>XCSLF3737412</v>
          </cell>
          <cell r="D691">
            <v>2</v>
          </cell>
          <cell r="E691">
            <v>2</v>
          </cell>
        </row>
        <row r="692">
          <cell r="B692" t="str">
            <v>XCSTE5311</v>
          </cell>
          <cell r="D692">
            <v>1</v>
          </cell>
          <cell r="E692">
            <v>1</v>
          </cell>
        </row>
        <row r="693">
          <cell r="B693" t="str">
            <v xml:space="preserve">XCSZ01 </v>
          </cell>
          <cell r="D693">
            <v>1</v>
          </cell>
          <cell r="E693">
            <v>1</v>
          </cell>
        </row>
        <row r="694">
          <cell r="B694" t="str">
            <v xml:space="preserve">XCSZ02 </v>
          </cell>
          <cell r="D694">
            <v>1</v>
          </cell>
          <cell r="E694">
            <v>1</v>
          </cell>
        </row>
        <row r="695">
          <cell r="B695" t="str">
            <v>XD2GA8241</v>
          </cell>
          <cell r="D695">
            <v>1</v>
          </cell>
          <cell r="E695">
            <v>1</v>
          </cell>
        </row>
        <row r="696">
          <cell r="B696" t="str">
            <v>XD2PA22</v>
          </cell>
          <cell r="D696">
            <v>6</v>
          </cell>
          <cell r="E696">
            <v>6</v>
          </cell>
        </row>
        <row r="697">
          <cell r="B697" t="str">
            <v>XD2PA24</v>
          </cell>
          <cell r="D697">
            <v>5</v>
          </cell>
          <cell r="E697">
            <v>5</v>
          </cell>
        </row>
        <row r="698">
          <cell r="B698" t="str">
            <v>XEAB25361</v>
          </cell>
          <cell r="D698">
            <v>6</v>
          </cell>
          <cell r="E698">
            <v>6</v>
          </cell>
        </row>
        <row r="699">
          <cell r="B699" t="str">
            <v>XENB1191</v>
          </cell>
          <cell r="D699">
            <v>3</v>
          </cell>
          <cell r="E699">
            <v>3</v>
          </cell>
        </row>
        <row r="700">
          <cell r="B700" t="str">
            <v>XENC1111</v>
          </cell>
          <cell r="D700">
            <v>4</v>
          </cell>
          <cell r="E700">
            <v>4</v>
          </cell>
        </row>
        <row r="701">
          <cell r="B701" t="str">
            <v>XENC1141</v>
          </cell>
          <cell r="D701">
            <v>7</v>
          </cell>
          <cell r="E701">
            <v>7</v>
          </cell>
        </row>
        <row r="702">
          <cell r="B702" t="str">
            <v>XENG1191</v>
          </cell>
          <cell r="D702">
            <v>4</v>
          </cell>
          <cell r="E702">
            <v>4</v>
          </cell>
        </row>
        <row r="703">
          <cell r="B703" t="str">
            <v>XMLB001R2S12</v>
          </cell>
          <cell r="D703">
            <v>1</v>
          </cell>
          <cell r="E703">
            <v>1</v>
          </cell>
        </row>
        <row r="704">
          <cell r="B704" t="str">
            <v>XMLB002A2S11</v>
          </cell>
          <cell r="D704">
            <v>1</v>
          </cell>
          <cell r="E704">
            <v>1</v>
          </cell>
        </row>
        <row r="705">
          <cell r="B705" t="str">
            <v>XPER310</v>
          </cell>
          <cell r="D705">
            <v>3</v>
          </cell>
          <cell r="E705">
            <v>3</v>
          </cell>
        </row>
        <row r="706">
          <cell r="B706" t="str">
            <v>XPSAC5121</v>
          </cell>
          <cell r="D706">
            <v>2</v>
          </cell>
          <cell r="E706">
            <v>2</v>
          </cell>
        </row>
        <row r="707">
          <cell r="B707" t="str">
            <v>XPSUAT13A3AP</v>
          </cell>
          <cell r="D707">
            <v>1</v>
          </cell>
          <cell r="E707">
            <v>1</v>
          </cell>
        </row>
        <row r="708">
          <cell r="B708" t="str">
            <v>XS112B3PAL2</v>
          </cell>
          <cell r="D708">
            <v>26</v>
          </cell>
          <cell r="E708">
            <v>26</v>
          </cell>
        </row>
        <row r="709">
          <cell r="B709" t="str">
            <v>XS112B3PAL5</v>
          </cell>
          <cell r="D709">
            <v>8</v>
          </cell>
          <cell r="E709">
            <v>8</v>
          </cell>
        </row>
        <row r="710">
          <cell r="B710" t="str">
            <v xml:space="preserve">XS118BLPAM12 </v>
          </cell>
          <cell r="D710">
            <v>12</v>
          </cell>
          <cell r="E710">
            <v>12</v>
          </cell>
        </row>
        <row r="711">
          <cell r="B711" t="str">
            <v>XS1M08PC410D</v>
          </cell>
          <cell r="D711">
            <v>4</v>
          </cell>
          <cell r="E711">
            <v>4</v>
          </cell>
        </row>
        <row r="712">
          <cell r="B712" t="str">
            <v xml:space="preserve">XS4P18AB120 </v>
          </cell>
          <cell r="D712">
            <v>8</v>
          </cell>
          <cell r="E712">
            <v>8</v>
          </cell>
        </row>
        <row r="713">
          <cell r="B713" t="str">
            <v>XS506B1PAL2</v>
          </cell>
          <cell r="D713">
            <v>2</v>
          </cell>
          <cell r="E713">
            <v>2</v>
          </cell>
        </row>
        <row r="714">
          <cell r="B714" t="str">
            <v>XS518B1PAM12</v>
          </cell>
          <cell r="D714">
            <v>1</v>
          </cell>
          <cell r="E714">
            <v>1</v>
          </cell>
        </row>
        <row r="715">
          <cell r="B715" t="str">
            <v>XS530B1PAL2 І</v>
          </cell>
          <cell r="D715">
            <v>2</v>
          </cell>
          <cell r="E715">
            <v>2</v>
          </cell>
        </row>
        <row r="716">
          <cell r="B716" t="str">
            <v>XS608B1PBM12</v>
          </cell>
          <cell r="D716">
            <v>2</v>
          </cell>
          <cell r="E716">
            <v>2</v>
          </cell>
        </row>
        <row r="717">
          <cell r="B717" t="str">
            <v>XS612B1PAL2</v>
          </cell>
          <cell r="D717">
            <v>6</v>
          </cell>
          <cell r="E717">
            <v>6</v>
          </cell>
        </row>
        <row r="718">
          <cell r="B718" t="str">
            <v>XS612B1PAM12</v>
          </cell>
          <cell r="D718">
            <v>57</v>
          </cell>
          <cell r="E718">
            <v>57</v>
          </cell>
        </row>
        <row r="719">
          <cell r="B719" t="str">
            <v>XS612B1PAM12TF</v>
          </cell>
          <cell r="D719">
            <v>4</v>
          </cell>
          <cell r="E719">
            <v>4</v>
          </cell>
        </row>
        <row r="720">
          <cell r="B720" t="str">
            <v xml:space="preserve">XS612B4PAM12 </v>
          </cell>
          <cell r="D720">
            <v>6</v>
          </cell>
          <cell r="E720">
            <v>6</v>
          </cell>
        </row>
        <row r="721">
          <cell r="B721" t="str">
            <v>XS618B1PAM12</v>
          </cell>
          <cell r="D721">
            <v>1</v>
          </cell>
          <cell r="E721">
            <v>1</v>
          </cell>
        </row>
        <row r="722">
          <cell r="B722" t="str">
            <v xml:space="preserve">XS618B4MAU20 </v>
          </cell>
          <cell r="D722">
            <v>8</v>
          </cell>
          <cell r="E722">
            <v>8</v>
          </cell>
        </row>
        <row r="723">
          <cell r="B723" t="str">
            <v xml:space="preserve">XS618B4PAM12 </v>
          </cell>
          <cell r="D723">
            <v>6</v>
          </cell>
          <cell r="E723">
            <v>6</v>
          </cell>
        </row>
        <row r="724">
          <cell r="B724" t="str">
            <v>XS618B4PBM12</v>
          </cell>
          <cell r="D724">
            <v>10</v>
          </cell>
          <cell r="E724">
            <v>10</v>
          </cell>
        </row>
        <row r="725">
          <cell r="B725" t="str">
            <v>XS630B1MAL2</v>
          </cell>
          <cell r="D725">
            <v>2</v>
          </cell>
          <cell r="E725">
            <v>2</v>
          </cell>
        </row>
        <row r="726">
          <cell r="B726" t="str">
            <v>XS630B5PBL2</v>
          </cell>
          <cell r="D726">
            <v>5</v>
          </cell>
          <cell r="E726">
            <v>5</v>
          </cell>
        </row>
        <row r="727">
          <cell r="B727" t="str">
            <v>XS9C2A2A1M12</v>
          </cell>
          <cell r="D727">
            <v>3</v>
          </cell>
          <cell r="E727">
            <v>3</v>
          </cell>
        </row>
        <row r="728">
          <cell r="B728" t="str">
            <v>XSAV11373</v>
          </cell>
          <cell r="D728">
            <v>18</v>
          </cell>
          <cell r="E728">
            <v>18</v>
          </cell>
        </row>
        <row r="729">
          <cell r="B729" t="str">
            <v>XSAV11373EX</v>
          </cell>
          <cell r="D729">
            <v>2</v>
          </cell>
          <cell r="E729">
            <v>2</v>
          </cell>
        </row>
        <row r="730">
          <cell r="B730" t="str">
            <v>XSAV11801</v>
          </cell>
          <cell r="D730">
            <v>33</v>
          </cell>
          <cell r="E730">
            <v>33</v>
          </cell>
        </row>
        <row r="731">
          <cell r="B731" t="str">
            <v>XSAV12373</v>
          </cell>
          <cell r="D731">
            <v>5</v>
          </cell>
          <cell r="E731">
            <v>5</v>
          </cell>
        </row>
        <row r="732">
          <cell r="B732" t="str">
            <v>XSAV1280 1TF</v>
          </cell>
          <cell r="D732">
            <v>5</v>
          </cell>
          <cell r="E732">
            <v>5</v>
          </cell>
        </row>
        <row r="733">
          <cell r="B733" t="str">
            <v>XT230A1FAL2</v>
          </cell>
          <cell r="D733">
            <v>2</v>
          </cell>
          <cell r="E733">
            <v>2</v>
          </cell>
        </row>
        <row r="734">
          <cell r="B734" t="str">
            <v>XUB0BPSNM12</v>
          </cell>
          <cell r="D734">
            <v>15</v>
          </cell>
          <cell r="E734">
            <v>15</v>
          </cell>
        </row>
        <row r="735">
          <cell r="B735" t="str">
            <v>XUK0AKSAL2</v>
          </cell>
          <cell r="D735">
            <v>8</v>
          </cell>
          <cell r="E735">
            <v>8</v>
          </cell>
        </row>
        <row r="736">
          <cell r="B736" t="str">
            <v>XUVR0605PBNM8</v>
          </cell>
          <cell r="D736">
            <v>8</v>
          </cell>
          <cell r="E736">
            <v>8</v>
          </cell>
        </row>
        <row r="737">
          <cell r="B737" t="str">
            <v>XUX8AKSAT16</v>
          </cell>
          <cell r="D737">
            <v>11</v>
          </cell>
          <cell r="E737">
            <v>11</v>
          </cell>
        </row>
        <row r="738">
          <cell r="B738" t="str">
            <v>XUXOARCTT16</v>
          </cell>
          <cell r="D738">
            <v>4</v>
          </cell>
          <cell r="E738">
            <v>4</v>
          </cell>
        </row>
        <row r="739">
          <cell r="B739" t="str">
            <v>XUYFNEP40120</v>
          </cell>
          <cell r="D739">
            <v>2</v>
          </cell>
          <cell r="E739">
            <v>2</v>
          </cell>
        </row>
        <row r="740">
          <cell r="B740" t="str">
            <v>XUZC50</v>
          </cell>
          <cell r="D740">
            <v>3</v>
          </cell>
          <cell r="E740">
            <v>3</v>
          </cell>
        </row>
        <row r="741">
          <cell r="B741" t="str">
            <v>XVBC2B7</v>
          </cell>
          <cell r="D741">
            <v>4</v>
          </cell>
          <cell r="E741">
            <v>4</v>
          </cell>
        </row>
        <row r="742">
          <cell r="B742" t="str">
            <v>XVBC33</v>
          </cell>
          <cell r="D742">
            <v>2</v>
          </cell>
          <cell r="E742">
            <v>2</v>
          </cell>
        </row>
        <row r="743">
          <cell r="B743" t="str">
            <v xml:space="preserve">XVBC9B </v>
          </cell>
          <cell r="D743">
            <v>4</v>
          </cell>
          <cell r="E743">
            <v>4</v>
          </cell>
        </row>
        <row r="744">
          <cell r="B744" t="str">
            <v xml:space="preserve">XVGB2SH </v>
          </cell>
          <cell r="D744">
            <v>11</v>
          </cell>
          <cell r="E744">
            <v>6</v>
          </cell>
          <cell r="F744">
            <v>5</v>
          </cell>
        </row>
        <row r="745">
          <cell r="B745" t="str">
            <v>XVMB2RAGSWSB</v>
          </cell>
          <cell r="D745">
            <v>5</v>
          </cell>
          <cell r="E745">
            <v>5</v>
          </cell>
        </row>
        <row r="746">
          <cell r="B746" t="str">
            <v>XVMB2RSWSB</v>
          </cell>
          <cell r="D746">
            <v>2</v>
          </cell>
          <cell r="E746">
            <v>2</v>
          </cell>
        </row>
        <row r="747">
          <cell r="B747" t="str">
            <v>XVR12B05S</v>
          </cell>
          <cell r="D747">
            <v>2</v>
          </cell>
          <cell r="E747">
            <v>2</v>
          </cell>
        </row>
        <row r="748">
          <cell r="B748" t="str">
            <v>XVS10MMW</v>
          </cell>
          <cell r="D748">
            <v>1</v>
          </cell>
          <cell r="E748">
            <v>1</v>
          </cell>
        </row>
        <row r="749">
          <cell r="B749" t="str">
            <v>XX512A1KAM8</v>
          </cell>
          <cell r="D749">
            <v>3</v>
          </cell>
          <cell r="E749">
            <v>3</v>
          </cell>
        </row>
        <row r="750">
          <cell r="B750" t="str">
            <v>XX518A1KAM12</v>
          </cell>
          <cell r="D750">
            <v>1</v>
          </cell>
          <cell r="E750">
            <v>1</v>
          </cell>
        </row>
        <row r="751">
          <cell r="B751" t="str">
            <v>XY2CE1A250</v>
          </cell>
          <cell r="D751">
            <v>10</v>
          </cell>
          <cell r="E751">
            <v>10</v>
          </cell>
        </row>
        <row r="752">
          <cell r="B752" t="str">
            <v>XY2CH13250</v>
          </cell>
          <cell r="D752">
            <v>2</v>
          </cell>
          <cell r="E752">
            <v>2</v>
          </cell>
        </row>
        <row r="753">
          <cell r="B753" t="str">
            <v>XY2CH13270H29</v>
          </cell>
          <cell r="D753">
            <v>12</v>
          </cell>
          <cell r="E753">
            <v>12</v>
          </cell>
        </row>
        <row r="754">
          <cell r="B754" t="str">
            <v>XY2CZ403</v>
          </cell>
          <cell r="D754">
            <v>10</v>
          </cell>
          <cell r="E754">
            <v>10</v>
          </cell>
        </row>
        <row r="755">
          <cell r="B755" t="str">
            <v xml:space="preserve">XY2CZ702 </v>
          </cell>
          <cell r="D755">
            <v>10</v>
          </cell>
          <cell r="E755">
            <v>10</v>
          </cell>
        </row>
        <row r="756">
          <cell r="B756" t="str">
            <v>XZCC12FCM50B</v>
          </cell>
          <cell r="D756">
            <v>5</v>
          </cell>
          <cell r="E756">
            <v>5</v>
          </cell>
        </row>
        <row r="757">
          <cell r="B757" t="str">
            <v xml:space="preserve">XZCC20FCM30B </v>
          </cell>
          <cell r="D757">
            <v>8</v>
          </cell>
          <cell r="E757">
            <v>8</v>
          </cell>
        </row>
        <row r="758">
          <cell r="B758" t="str">
            <v>XZCC8FCM30S</v>
          </cell>
          <cell r="D758">
            <v>5</v>
          </cell>
          <cell r="E758">
            <v>5</v>
          </cell>
        </row>
        <row r="759">
          <cell r="B759" t="str">
            <v>XZCP1241L5</v>
          </cell>
          <cell r="D759">
            <v>7</v>
          </cell>
          <cell r="E759">
            <v>7</v>
          </cell>
        </row>
        <row r="760">
          <cell r="B760" t="str">
            <v>XZCPV1241L5</v>
          </cell>
          <cell r="D760">
            <v>9</v>
          </cell>
          <cell r="E760">
            <v>9</v>
          </cell>
        </row>
        <row r="761">
          <cell r="B761" t="str">
            <v>ZA2BV01</v>
          </cell>
          <cell r="D761">
            <v>2</v>
          </cell>
          <cell r="E761">
            <v>2</v>
          </cell>
        </row>
        <row r="762">
          <cell r="B762" t="str">
            <v>ZB2BE101</v>
          </cell>
          <cell r="D762">
            <v>4</v>
          </cell>
          <cell r="E762">
            <v>4</v>
          </cell>
        </row>
        <row r="763">
          <cell r="B763" t="str">
            <v>ZB2BE102</v>
          </cell>
          <cell r="D763">
            <v>34</v>
          </cell>
          <cell r="E763">
            <v>34</v>
          </cell>
        </row>
        <row r="764">
          <cell r="B764" t="str">
            <v>ZB4BA3</v>
          </cell>
          <cell r="D764">
            <v>30</v>
          </cell>
          <cell r="E764">
            <v>20</v>
          </cell>
          <cell r="F764">
            <v>10</v>
          </cell>
        </row>
        <row r="765">
          <cell r="B765" t="str">
            <v>ZB4BA4</v>
          </cell>
          <cell r="D765">
            <v>10</v>
          </cell>
          <cell r="F765">
            <v>10</v>
          </cell>
        </row>
        <row r="766">
          <cell r="B766" t="str">
            <v>ZB4BA7341</v>
          </cell>
          <cell r="D766">
            <v>5</v>
          </cell>
          <cell r="F766">
            <v>5</v>
          </cell>
        </row>
        <row r="767">
          <cell r="B767" t="str">
            <v>ZB4BC2</v>
          </cell>
          <cell r="D767">
            <v>3</v>
          </cell>
          <cell r="E767">
            <v>3</v>
          </cell>
        </row>
        <row r="768">
          <cell r="B768" t="str">
            <v>ZB4BD2</v>
          </cell>
          <cell r="D768">
            <v>26</v>
          </cell>
          <cell r="E768">
            <v>20</v>
          </cell>
          <cell r="F768">
            <v>6</v>
          </cell>
        </row>
        <row r="769">
          <cell r="B769" t="str">
            <v>ZB4BD4</v>
          </cell>
          <cell r="D769">
            <v>10</v>
          </cell>
          <cell r="E769">
            <v>10</v>
          </cell>
        </row>
        <row r="770">
          <cell r="B770" t="str">
            <v>ZB4BD5</v>
          </cell>
          <cell r="D770">
            <v>6</v>
          </cell>
          <cell r="F770">
            <v>6</v>
          </cell>
        </row>
        <row r="771">
          <cell r="B771" t="str">
            <v>ZB4BD8</v>
          </cell>
          <cell r="D771">
            <v>40</v>
          </cell>
          <cell r="E771">
            <v>40</v>
          </cell>
        </row>
        <row r="772">
          <cell r="B772" t="str">
            <v xml:space="preserve">ZB4BH033 </v>
          </cell>
          <cell r="D772">
            <v>10</v>
          </cell>
          <cell r="E772">
            <v>10</v>
          </cell>
        </row>
        <row r="773">
          <cell r="B773" t="str">
            <v>ZB4BK1213</v>
          </cell>
          <cell r="D773">
            <v>10</v>
          </cell>
          <cell r="E773">
            <v>10</v>
          </cell>
        </row>
        <row r="774">
          <cell r="B774" t="str">
            <v>ZB4BS844</v>
          </cell>
          <cell r="D774">
            <v>22</v>
          </cell>
          <cell r="E774">
            <v>22</v>
          </cell>
        </row>
        <row r="775">
          <cell r="B775" t="str">
            <v>ZB4BT2</v>
          </cell>
          <cell r="D775">
            <v>20</v>
          </cell>
          <cell r="E775">
            <v>20</v>
          </cell>
        </row>
        <row r="776">
          <cell r="B776" t="str">
            <v>ZB4BT84</v>
          </cell>
          <cell r="D776">
            <v>1</v>
          </cell>
          <cell r="E776">
            <v>1</v>
          </cell>
        </row>
        <row r="777">
          <cell r="B777" t="str">
            <v>ZB4BV033</v>
          </cell>
          <cell r="D777">
            <v>40</v>
          </cell>
          <cell r="E777">
            <v>40</v>
          </cell>
        </row>
        <row r="778">
          <cell r="B778" t="str">
            <v>ZB4BVB1</v>
          </cell>
          <cell r="D778">
            <v>3</v>
          </cell>
          <cell r="E778">
            <v>3</v>
          </cell>
        </row>
        <row r="779">
          <cell r="B779" t="str">
            <v>ZB4BW313</v>
          </cell>
          <cell r="D779">
            <v>10</v>
          </cell>
          <cell r="E779">
            <v>10</v>
          </cell>
        </row>
        <row r="780">
          <cell r="B780" t="str">
            <v>ZB4BW333</v>
          </cell>
          <cell r="D780">
            <v>18</v>
          </cell>
          <cell r="E780">
            <v>8</v>
          </cell>
          <cell r="F780">
            <v>10</v>
          </cell>
        </row>
        <row r="781">
          <cell r="B781" t="str">
            <v>ZB4BW34</v>
          </cell>
          <cell r="D781">
            <v>50</v>
          </cell>
          <cell r="E781">
            <v>50</v>
          </cell>
        </row>
        <row r="782">
          <cell r="B782" t="str">
            <v>ZB4BW35</v>
          </cell>
          <cell r="D782">
            <v>20</v>
          </cell>
          <cell r="E782">
            <v>20</v>
          </cell>
        </row>
        <row r="783">
          <cell r="B783" t="str">
            <v xml:space="preserve">ZB4BW353 </v>
          </cell>
          <cell r="D783">
            <v>15</v>
          </cell>
          <cell r="E783">
            <v>5</v>
          </cell>
          <cell r="F783">
            <v>10</v>
          </cell>
        </row>
        <row r="784">
          <cell r="B784" t="str">
            <v>ZB4BW36</v>
          </cell>
          <cell r="D784">
            <v>50</v>
          </cell>
          <cell r="E784">
            <v>50</v>
          </cell>
        </row>
        <row r="785">
          <cell r="B785" t="str">
            <v>ZB4BW7A3741</v>
          </cell>
          <cell r="D785">
            <v>5</v>
          </cell>
          <cell r="E785">
            <v>5</v>
          </cell>
        </row>
        <row r="786">
          <cell r="B786" t="str">
            <v>ZB4BZ009</v>
          </cell>
          <cell r="D786">
            <v>340</v>
          </cell>
          <cell r="E786">
            <v>333</v>
          </cell>
          <cell r="F786">
            <v>7</v>
          </cell>
        </row>
        <row r="787">
          <cell r="B787" t="str">
            <v>ZB4BZ2005</v>
          </cell>
          <cell r="D787">
            <v>16</v>
          </cell>
          <cell r="E787">
            <v>8</v>
          </cell>
          <cell r="F787">
            <v>8</v>
          </cell>
        </row>
        <row r="788">
          <cell r="B788" t="str">
            <v>ZB4SZ3</v>
          </cell>
          <cell r="D788">
            <v>2</v>
          </cell>
          <cell r="E788">
            <v>2</v>
          </cell>
        </row>
        <row r="789">
          <cell r="B789" t="str">
            <v>ZB5AA3</v>
          </cell>
          <cell r="D789">
            <v>4</v>
          </cell>
          <cell r="E789">
            <v>4</v>
          </cell>
        </row>
        <row r="790">
          <cell r="B790" t="str">
            <v>ZB5AD2</v>
          </cell>
          <cell r="D790">
            <v>10</v>
          </cell>
          <cell r="E790">
            <v>10</v>
          </cell>
        </row>
        <row r="791">
          <cell r="B791" t="str">
            <v>ZB5AD3</v>
          </cell>
          <cell r="D791">
            <v>3</v>
          </cell>
          <cell r="E791">
            <v>3</v>
          </cell>
        </row>
        <row r="792">
          <cell r="B792" t="str">
            <v>ZB5AS844</v>
          </cell>
          <cell r="D792">
            <v>23</v>
          </cell>
          <cell r="E792">
            <v>18</v>
          </cell>
          <cell r="F792">
            <v>5</v>
          </cell>
        </row>
        <row r="793">
          <cell r="B793" t="str">
            <v>ZB5AW0B11</v>
          </cell>
          <cell r="D793">
            <v>1</v>
          </cell>
          <cell r="E793">
            <v>1</v>
          </cell>
        </row>
        <row r="794">
          <cell r="B794" t="str">
            <v>ZB5AW0B15</v>
          </cell>
          <cell r="D794">
            <v>15</v>
          </cell>
          <cell r="E794">
            <v>10</v>
          </cell>
          <cell r="F794">
            <v>5</v>
          </cell>
        </row>
        <row r="795">
          <cell r="B795" t="str">
            <v>ZB5AW743</v>
          </cell>
          <cell r="D795">
            <v>18</v>
          </cell>
          <cell r="E795">
            <v>18</v>
          </cell>
        </row>
        <row r="796">
          <cell r="B796" t="str">
            <v>ZB5AZ009</v>
          </cell>
          <cell r="D796">
            <v>75</v>
          </cell>
          <cell r="E796">
            <v>75</v>
          </cell>
        </row>
        <row r="797">
          <cell r="B797" t="str">
            <v>ZB5AZ104</v>
          </cell>
          <cell r="D797">
            <v>18</v>
          </cell>
          <cell r="E797">
            <v>18</v>
          </cell>
        </row>
        <row r="798">
          <cell r="B798" t="str">
            <v xml:space="preserve">ZB5AZ905 </v>
          </cell>
          <cell r="D798">
            <v>2</v>
          </cell>
          <cell r="E798">
            <v>2</v>
          </cell>
        </row>
        <row r="799">
          <cell r="B799" t="str">
            <v>ZB5FW333</v>
          </cell>
          <cell r="D799">
            <v>5</v>
          </cell>
          <cell r="E799">
            <v>5</v>
          </cell>
        </row>
        <row r="800">
          <cell r="B800" t="str">
            <v>ZB5FW343</v>
          </cell>
          <cell r="D800">
            <v>5</v>
          </cell>
          <cell r="E800">
            <v>5</v>
          </cell>
        </row>
        <row r="801">
          <cell r="B801" t="str">
            <v>ZB5SZ3</v>
          </cell>
          <cell r="D801">
            <v>10</v>
          </cell>
          <cell r="E801">
            <v>10</v>
          </cell>
        </row>
        <row r="802">
          <cell r="B802" t="str">
            <v xml:space="preserve">ZBA708 </v>
          </cell>
          <cell r="D802">
            <v>5</v>
          </cell>
          <cell r="E802">
            <v>5</v>
          </cell>
        </row>
        <row r="803">
          <cell r="B803" t="str">
            <v>ZBE101</v>
          </cell>
          <cell r="D803">
            <v>471</v>
          </cell>
          <cell r="E803">
            <v>461</v>
          </cell>
          <cell r="F803">
            <v>10</v>
          </cell>
        </row>
        <row r="804">
          <cell r="B804" t="str">
            <v>ZBE1014</v>
          </cell>
          <cell r="D804">
            <v>15</v>
          </cell>
          <cell r="E804">
            <v>15</v>
          </cell>
        </row>
        <row r="805">
          <cell r="B805" t="str">
            <v>ZBE102</v>
          </cell>
          <cell r="D805">
            <v>181</v>
          </cell>
          <cell r="E805">
            <v>181</v>
          </cell>
        </row>
        <row r="806">
          <cell r="B806" t="str">
            <v xml:space="preserve">ZBE1024 </v>
          </cell>
          <cell r="D806">
            <v>10</v>
          </cell>
          <cell r="E806">
            <v>10</v>
          </cell>
        </row>
        <row r="807">
          <cell r="B807" t="str">
            <v>ZBE204</v>
          </cell>
          <cell r="D807">
            <v>20</v>
          </cell>
          <cell r="E807">
            <v>20</v>
          </cell>
        </row>
        <row r="808">
          <cell r="B808" t="str">
            <v>ZBP0</v>
          </cell>
          <cell r="D808">
            <v>20</v>
          </cell>
          <cell r="E808">
            <v>20</v>
          </cell>
        </row>
        <row r="809">
          <cell r="B809" t="str">
            <v>ZBVB1</v>
          </cell>
          <cell r="D809">
            <v>200</v>
          </cell>
          <cell r="E809">
            <v>190</v>
          </cell>
          <cell r="F809">
            <v>10</v>
          </cell>
        </row>
        <row r="810">
          <cell r="B810" t="str">
            <v xml:space="preserve">ZBVB15 </v>
          </cell>
          <cell r="D810">
            <v>5</v>
          </cell>
          <cell r="E810">
            <v>5</v>
          </cell>
        </row>
        <row r="811">
          <cell r="B811" t="str">
            <v>ZBVB19</v>
          </cell>
          <cell r="D811">
            <v>20</v>
          </cell>
          <cell r="E811">
            <v>20</v>
          </cell>
        </row>
        <row r="812">
          <cell r="B812" t="str">
            <v xml:space="preserve">ZBVM1 </v>
          </cell>
          <cell r="D812">
            <v>20</v>
          </cell>
          <cell r="E812">
            <v>20</v>
          </cell>
        </row>
        <row r="813">
          <cell r="B813" t="str">
            <v>ZBY6101</v>
          </cell>
          <cell r="D813">
            <v>116</v>
          </cell>
          <cell r="E813">
            <v>116</v>
          </cell>
        </row>
        <row r="814">
          <cell r="B814" t="str">
            <v>ZBY6102</v>
          </cell>
          <cell r="D814">
            <v>120</v>
          </cell>
          <cell r="E814">
            <v>120</v>
          </cell>
        </row>
        <row r="815">
          <cell r="B815" t="str">
            <v>ZBY9320</v>
          </cell>
          <cell r="D815">
            <v>10</v>
          </cell>
          <cell r="E815">
            <v>10</v>
          </cell>
        </row>
        <row r="816">
          <cell r="B816" t="str">
            <v>ZBY9330T</v>
          </cell>
          <cell r="D816">
            <v>10</v>
          </cell>
          <cell r="E816">
            <v>10</v>
          </cell>
        </row>
        <row r="817">
          <cell r="B817" t="str">
            <v>ZBY9W2B330</v>
          </cell>
          <cell r="D817">
            <v>10</v>
          </cell>
          <cell r="E817">
            <v>10</v>
          </cell>
        </row>
        <row r="818">
          <cell r="B818" t="str">
            <v>ZCE01</v>
          </cell>
          <cell r="D818">
            <v>9</v>
          </cell>
          <cell r="E818">
            <v>9</v>
          </cell>
        </row>
        <row r="819">
          <cell r="B819" t="str">
            <v>ZCE11</v>
          </cell>
          <cell r="D819">
            <v>20</v>
          </cell>
          <cell r="E819">
            <v>20</v>
          </cell>
        </row>
        <row r="820">
          <cell r="B820" t="str">
            <v>ZCKM1H29</v>
          </cell>
          <cell r="D820">
            <v>2</v>
          </cell>
          <cell r="E820">
            <v>2</v>
          </cell>
        </row>
        <row r="821">
          <cell r="B821" t="str">
            <v>ZCMD21</v>
          </cell>
          <cell r="D821">
            <v>10</v>
          </cell>
          <cell r="E821">
            <v>10</v>
          </cell>
        </row>
        <row r="822">
          <cell r="B822" t="str">
            <v>ZCMD21C12</v>
          </cell>
          <cell r="D822">
            <v>4</v>
          </cell>
          <cell r="E822">
            <v>4</v>
          </cell>
        </row>
        <row r="823">
          <cell r="B823" t="str">
            <v>ZCMD21L5</v>
          </cell>
          <cell r="D823">
            <v>10</v>
          </cell>
          <cell r="E823">
            <v>10</v>
          </cell>
        </row>
        <row r="824">
          <cell r="B824" t="str">
            <v>ZCP21M12</v>
          </cell>
          <cell r="D824">
            <v>5</v>
          </cell>
          <cell r="E824">
            <v>5</v>
          </cell>
        </row>
        <row r="825">
          <cell r="B825" t="str">
            <v>ZCY26</v>
          </cell>
          <cell r="D825">
            <v>4</v>
          </cell>
          <cell r="E825">
            <v>4</v>
          </cell>
        </row>
        <row r="826">
          <cell r="B826" t="str">
            <v>ZENL1121</v>
          </cell>
          <cell r="D826">
            <v>9</v>
          </cell>
          <cell r="E826">
            <v>9</v>
          </cell>
        </row>
        <row r="827">
          <cell r="B827" t="str">
            <v>ХВ4ВD21</v>
          </cell>
          <cell r="D827">
            <v>10</v>
          </cell>
          <cell r="E827">
            <v>10</v>
          </cell>
        </row>
        <row r="828">
          <cell r="B828" t="str">
            <v>ХВ4ВD33</v>
          </cell>
          <cell r="D828">
            <v>2</v>
          </cell>
          <cell r="E828">
            <v>2</v>
          </cell>
        </row>
      </sheetData>
      <sheetData sheetId="1" refreshError="1"/>
    </sheetDataSet>
  </externalBook>
</externalLink>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01"/>
  <sheetViews>
    <sheetView tabSelected="1" topLeftCell="A7" zoomScaleNormal="100" workbookViewId="0">
      <selection activeCell="A11" sqref="A11"/>
    </sheetView>
  </sheetViews>
  <sheetFormatPr defaultColWidth="8.8984375" defaultRowHeight="16.5" customHeight="1" x14ac:dyDescent="0.3"/>
  <cols>
    <col min="1" max="1" width="20.09765625" customWidth="1"/>
    <col min="2" max="2" width="20.09765625" hidden="1" customWidth="1"/>
    <col min="3" max="3" width="20.09765625" style="28" hidden="1" customWidth="1"/>
    <col min="4" max="4" width="20.09765625" style="28" customWidth="1"/>
    <col min="5" max="5" width="15.59765625" customWidth="1"/>
    <col min="6" max="6" width="16.3984375" customWidth="1"/>
    <col min="7" max="7" width="43.69921875" customWidth="1"/>
    <col min="8" max="8" width="39.8984375" customWidth="1"/>
    <col min="9" max="9" width="9" customWidth="1"/>
    <col min="10" max="10" width="18.59765625" customWidth="1"/>
    <col min="11" max="11" width="17.8984375" customWidth="1"/>
    <col min="12" max="14" width="9" customWidth="1"/>
    <col min="15" max="15" width="12.09765625" customWidth="1"/>
    <col min="16" max="16" width="21.8984375" customWidth="1"/>
    <col min="17" max="17" width="22.5" customWidth="1"/>
    <col min="18" max="18" width="22" customWidth="1"/>
    <col min="19" max="19" width="22.5" customWidth="1"/>
    <col min="20" max="23" width="9" customWidth="1"/>
    <col min="24" max="24" width="53.3984375" style="6" customWidth="1"/>
    <col min="25" max="25" width="59.3984375" style="10" customWidth="1"/>
    <col min="26" max="26" width="13.8984375" customWidth="1"/>
    <col min="27" max="27" width="8.8984375" customWidth="1"/>
    <col min="28" max="28" width="11.5" customWidth="1"/>
    <col min="29" max="29" width="8.8984375" customWidth="1"/>
    <col min="30" max="30" width="11" customWidth="1"/>
    <col min="31" max="31" width="5.8984375" customWidth="1"/>
    <col min="32" max="32" width="255.8984375" bestFit="1" customWidth="1"/>
    <col min="33" max="33" width="45.3984375" customWidth="1"/>
    <col min="44" max="44" width="28" bestFit="1" customWidth="1"/>
    <col min="45" max="45" width="28.3984375" bestFit="1" customWidth="1"/>
    <col min="46" max="46" width="21.59765625" bestFit="1" customWidth="1"/>
    <col min="47" max="47" width="11.09765625" bestFit="1" customWidth="1"/>
    <col min="48" max="48" width="29.09765625" bestFit="1" customWidth="1"/>
    <col min="49" max="50" width="18.8984375" bestFit="1" customWidth="1"/>
  </cols>
  <sheetData>
    <row r="1" spans="1:50" ht="16.5" customHeight="1" thickBot="1" x14ac:dyDescent="0.35">
      <c r="A1" s="1" t="s">
        <v>0</v>
      </c>
      <c r="B1" s="1"/>
      <c r="C1" s="23" t="s">
        <v>290</v>
      </c>
      <c r="D1" s="23"/>
      <c r="E1" s="1" t="s">
        <v>1</v>
      </c>
      <c r="F1" s="1" t="s">
        <v>2</v>
      </c>
      <c r="G1" s="20"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5" t="s">
        <v>20</v>
      </c>
      <c r="Y1" s="8"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row>
    <row r="2" spans="1:50" ht="16.5" customHeight="1" x14ac:dyDescent="0.3">
      <c r="A2" s="36" t="s">
        <v>100</v>
      </c>
      <c r="B2" s="19" cm="1">
        <f t="array" ref="B2:B47">VLOOKUP(A2:A47,[1]TDSheet!$B$12:$F$828,5,0)</f>
        <v>5</v>
      </c>
      <c r="C2" s="24">
        <v>405.8784</v>
      </c>
      <c r="D2" s="33">
        <f>C2/47.82</f>
        <v>8.4876286072772906</v>
      </c>
      <c r="E2" s="32" t="s">
        <v>100</v>
      </c>
      <c r="F2" s="19" t="s">
        <v>100</v>
      </c>
      <c r="G2" s="21" t="s">
        <v>146</v>
      </c>
      <c r="H2" s="21" t="s">
        <v>146</v>
      </c>
      <c r="I2" t="s">
        <v>192</v>
      </c>
      <c r="J2" s="3" t="s">
        <v>286</v>
      </c>
      <c r="K2" s="15"/>
      <c r="L2" s="2" t="s">
        <v>47</v>
      </c>
      <c r="M2" s="4" t="s">
        <v>53</v>
      </c>
      <c r="N2" s="2" t="s">
        <v>48</v>
      </c>
      <c r="O2" s="2" t="s">
        <v>49</v>
      </c>
      <c r="P2" s="3" t="s">
        <v>287</v>
      </c>
      <c r="X2" s="18" t="s">
        <v>239</v>
      </c>
      <c r="Y2" s="7" t="s">
        <v>193</v>
      </c>
      <c r="AA2" s="2" t="s">
        <v>99</v>
      </c>
      <c r="AC2" s="2" t="s">
        <v>50</v>
      </c>
      <c r="AD2" s="2" t="s">
        <v>50</v>
      </c>
      <c r="AE2" s="2" t="s">
        <v>50</v>
      </c>
      <c r="AF2" s="7" t="s">
        <v>193</v>
      </c>
      <c r="AG2" s="7" t="s">
        <v>97</v>
      </c>
      <c r="AI2" s="2" t="s">
        <v>51</v>
      </c>
      <c r="AJ2">
        <v>12</v>
      </c>
      <c r="AK2" s="2" t="s">
        <v>54</v>
      </c>
      <c r="AR2" s="17" t="s">
        <v>98</v>
      </c>
      <c r="AS2" s="17" t="s">
        <v>98</v>
      </c>
      <c r="AX2" s="2" t="s">
        <v>52</v>
      </c>
    </row>
    <row r="3" spans="1:50" ht="16.5" customHeight="1" x14ac:dyDescent="0.3">
      <c r="A3" s="36" t="s">
        <v>101</v>
      </c>
      <c r="B3" s="19">
        <v>10</v>
      </c>
      <c r="C3" s="24">
        <v>458.95679999999999</v>
      </c>
      <c r="D3" s="33">
        <f t="shared" ref="D3:D47" si="0">C3/47.82</f>
        <v>9.5975909661229615</v>
      </c>
      <c r="E3" s="19" t="s">
        <v>101</v>
      </c>
      <c r="F3" s="19" t="s">
        <v>101</v>
      </c>
      <c r="G3" s="21" t="s">
        <v>147</v>
      </c>
      <c r="H3" s="21" t="s">
        <v>147</v>
      </c>
      <c r="I3" t="s">
        <v>192</v>
      </c>
      <c r="J3" s="3" t="s">
        <v>286</v>
      </c>
      <c r="K3" s="15"/>
      <c r="L3" s="2" t="s">
        <v>47</v>
      </c>
      <c r="M3" s="4" t="s">
        <v>53</v>
      </c>
      <c r="N3" s="2" t="s">
        <v>48</v>
      </c>
      <c r="O3" s="2" t="s">
        <v>49</v>
      </c>
      <c r="P3" s="3" t="s">
        <v>287</v>
      </c>
      <c r="X3" s="18" t="s">
        <v>240</v>
      </c>
      <c r="Y3" s="7" t="s">
        <v>194</v>
      </c>
      <c r="AA3" s="2" t="s">
        <v>99</v>
      </c>
      <c r="AC3" s="2" t="s">
        <v>50</v>
      </c>
      <c r="AD3" s="2" t="s">
        <v>50</v>
      </c>
      <c r="AE3" s="2" t="s">
        <v>50</v>
      </c>
      <c r="AF3" s="7" t="s">
        <v>194</v>
      </c>
      <c r="AG3" s="7" t="s">
        <v>75</v>
      </c>
      <c r="AI3" s="2" t="s">
        <v>51</v>
      </c>
      <c r="AJ3">
        <v>12</v>
      </c>
      <c r="AK3" s="2" t="s">
        <v>55</v>
      </c>
      <c r="AR3" s="17" t="s">
        <v>98</v>
      </c>
      <c r="AS3" s="17" t="s">
        <v>98</v>
      </c>
      <c r="AX3" s="2" t="s">
        <v>52</v>
      </c>
    </row>
    <row r="4" spans="1:50" ht="16.5" customHeight="1" x14ac:dyDescent="0.3">
      <c r="A4" s="36" t="s">
        <v>102</v>
      </c>
      <c r="B4" s="19">
        <v>12</v>
      </c>
      <c r="C4" s="24">
        <v>800.46720000000005</v>
      </c>
      <c r="D4" s="33">
        <f t="shared" si="0"/>
        <v>16.73917189460477</v>
      </c>
      <c r="E4" s="19" t="s">
        <v>102</v>
      </c>
      <c r="F4" s="19" t="s">
        <v>102</v>
      </c>
      <c r="G4" s="21" t="s">
        <v>148</v>
      </c>
      <c r="H4" s="21" t="s">
        <v>148</v>
      </c>
      <c r="I4" t="s">
        <v>192</v>
      </c>
      <c r="J4" s="3" t="s">
        <v>286</v>
      </c>
      <c r="K4" s="15"/>
      <c r="L4" s="2" t="s">
        <v>47</v>
      </c>
      <c r="M4" s="4" t="s">
        <v>53</v>
      </c>
      <c r="N4" s="2" t="s">
        <v>48</v>
      </c>
      <c r="O4" s="2" t="s">
        <v>49</v>
      </c>
      <c r="P4" s="3" t="s">
        <v>287</v>
      </c>
      <c r="X4" s="18" t="s">
        <v>241</v>
      </c>
      <c r="Y4" s="7" t="s">
        <v>195</v>
      </c>
      <c r="AA4" s="2" t="s">
        <v>99</v>
      </c>
      <c r="AC4" s="2" t="s">
        <v>50</v>
      </c>
      <c r="AD4" s="2" t="s">
        <v>50</v>
      </c>
      <c r="AE4" s="2" t="s">
        <v>50</v>
      </c>
      <c r="AF4" s="7" t="s">
        <v>195</v>
      </c>
      <c r="AG4" s="7" t="s">
        <v>87</v>
      </c>
      <c r="AI4" s="2" t="s">
        <v>51</v>
      </c>
      <c r="AJ4">
        <v>12</v>
      </c>
      <c r="AK4" s="2" t="s">
        <v>56</v>
      </c>
      <c r="AR4" s="17" t="s">
        <v>98</v>
      </c>
      <c r="AS4" s="17" t="s">
        <v>98</v>
      </c>
      <c r="AX4" s="2" t="s">
        <v>52</v>
      </c>
    </row>
    <row r="5" spans="1:50" ht="16.5" customHeight="1" x14ac:dyDescent="0.3">
      <c r="A5" s="3" t="s">
        <v>103</v>
      </c>
      <c r="B5" s="11">
        <v>5</v>
      </c>
      <c r="C5" s="24">
        <v>297</v>
      </c>
      <c r="D5" s="33">
        <f t="shared" si="0"/>
        <v>6.2107904642409038</v>
      </c>
      <c r="E5" s="14" t="s">
        <v>103</v>
      </c>
      <c r="F5" s="11" t="s">
        <v>103</v>
      </c>
      <c r="G5" s="21" t="s">
        <v>149</v>
      </c>
      <c r="H5" s="21" t="s">
        <v>149</v>
      </c>
      <c r="I5" t="s">
        <v>192</v>
      </c>
      <c r="J5" s="3" t="s">
        <v>286</v>
      </c>
      <c r="K5" s="15"/>
      <c r="L5" s="2" t="s">
        <v>47</v>
      </c>
      <c r="M5" s="4" t="s">
        <v>53</v>
      </c>
      <c r="N5" s="2" t="s">
        <v>48</v>
      </c>
      <c r="O5" s="2" t="s">
        <v>49</v>
      </c>
      <c r="P5" s="3" t="s">
        <v>287</v>
      </c>
      <c r="X5" s="18" t="s">
        <v>242</v>
      </c>
      <c r="Y5" s="7" t="s">
        <v>196</v>
      </c>
      <c r="AA5" s="2" t="s">
        <v>99</v>
      </c>
      <c r="AC5" s="2" t="s">
        <v>50</v>
      </c>
      <c r="AD5" s="2" t="s">
        <v>50</v>
      </c>
      <c r="AE5" s="2" t="s">
        <v>50</v>
      </c>
      <c r="AF5" s="7" t="s">
        <v>196</v>
      </c>
      <c r="AG5" s="7" t="s">
        <v>88</v>
      </c>
      <c r="AI5" s="2" t="s">
        <v>51</v>
      </c>
      <c r="AJ5">
        <v>12</v>
      </c>
      <c r="AK5" s="2" t="s">
        <v>57</v>
      </c>
      <c r="AR5" s="17" t="s">
        <v>98</v>
      </c>
      <c r="AS5" s="17" t="s">
        <v>98</v>
      </c>
      <c r="AX5" s="2" t="s">
        <v>52</v>
      </c>
    </row>
    <row r="6" spans="1:50" ht="16.5" customHeight="1" x14ac:dyDescent="0.3">
      <c r="A6" s="36" t="s">
        <v>104</v>
      </c>
      <c r="B6" s="19">
        <v>1</v>
      </c>
      <c r="C6" s="24">
        <v>699.04295999999999</v>
      </c>
      <c r="D6" s="33">
        <f t="shared" si="0"/>
        <v>14.61821329987453</v>
      </c>
      <c r="E6" s="19" t="s">
        <v>104</v>
      </c>
      <c r="F6" s="19" t="s">
        <v>104</v>
      </c>
      <c r="G6" s="21" t="s">
        <v>150</v>
      </c>
      <c r="H6" s="21" t="s">
        <v>150</v>
      </c>
      <c r="I6" t="s">
        <v>192</v>
      </c>
      <c r="J6" s="3" t="s">
        <v>286</v>
      </c>
      <c r="K6" s="15"/>
      <c r="L6" s="2" t="s">
        <v>47</v>
      </c>
      <c r="M6" s="4" t="s">
        <v>53</v>
      </c>
      <c r="N6" s="2" t="s">
        <v>48</v>
      </c>
      <c r="O6" s="2" t="s">
        <v>49</v>
      </c>
      <c r="P6" s="3" t="s">
        <v>287</v>
      </c>
      <c r="X6" s="18" t="s">
        <v>243</v>
      </c>
      <c r="Y6" s="7" t="s">
        <v>197</v>
      </c>
      <c r="AA6" s="2" t="s">
        <v>99</v>
      </c>
      <c r="AB6" s="17"/>
      <c r="AC6" s="2" t="s">
        <v>50</v>
      </c>
      <c r="AD6" s="2" t="s">
        <v>50</v>
      </c>
      <c r="AE6" s="2" t="s">
        <v>50</v>
      </c>
      <c r="AF6" s="7" t="s">
        <v>197</v>
      </c>
      <c r="AG6" s="7" t="s">
        <v>89</v>
      </c>
      <c r="AI6" s="2" t="s">
        <v>51</v>
      </c>
      <c r="AJ6">
        <v>12</v>
      </c>
      <c r="AK6" s="2" t="s">
        <v>58</v>
      </c>
      <c r="AR6" s="17" t="s">
        <v>98</v>
      </c>
      <c r="AS6" s="17" t="s">
        <v>98</v>
      </c>
      <c r="AX6" s="2" t="s">
        <v>52</v>
      </c>
    </row>
    <row r="7" spans="1:50" ht="16.5" customHeight="1" x14ac:dyDescent="0.3">
      <c r="A7" s="36" t="s">
        <v>105</v>
      </c>
      <c r="B7" s="19">
        <v>25</v>
      </c>
      <c r="C7" s="24">
        <v>257.30519999999996</v>
      </c>
      <c r="D7" s="33">
        <f t="shared" si="0"/>
        <v>5.3807026348808025</v>
      </c>
      <c r="E7" s="19" t="s">
        <v>105</v>
      </c>
      <c r="F7" s="19" t="s">
        <v>105</v>
      </c>
      <c r="G7" s="21" t="s">
        <v>151</v>
      </c>
      <c r="H7" s="21" t="s">
        <v>151</v>
      </c>
      <c r="I7" t="s">
        <v>192</v>
      </c>
      <c r="J7" s="3" t="s">
        <v>286</v>
      </c>
      <c r="K7" s="15"/>
      <c r="L7" s="2" t="s">
        <v>47</v>
      </c>
      <c r="M7" s="4" t="s">
        <v>53</v>
      </c>
      <c r="N7" s="2" t="s">
        <v>48</v>
      </c>
      <c r="O7" s="2" t="s">
        <v>49</v>
      </c>
      <c r="P7" s="3" t="s">
        <v>287</v>
      </c>
      <c r="X7" s="18" t="s">
        <v>244</v>
      </c>
      <c r="Y7" s="7" t="s">
        <v>198</v>
      </c>
      <c r="AA7" s="2" t="s">
        <v>99</v>
      </c>
      <c r="AC7" s="2" t="s">
        <v>50</v>
      </c>
      <c r="AD7" s="2" t="s">
        <v>50</v>
      </c>
      <c r="AE7" s="2" t="s">
        <v>50</v>
      </c>
      <c r="AF7" s="7" t="s">
        <v>198</v>
      </c>
      <c r="AG7" s="7" t="s">
        <v>90</v>
      </c>
      <c r="AI7" s="2" t="s">
        <v>51</v>
      </c>
      <c r="AJ7">
        <v>12</v>
      </c>
      <c r="AK7" s="2" t="s">
        <v>59</v>
      </c>
      <c r="AR7" s="17" t="s">
        <v>98</v>
      </c>
      <c r="AS7" s="17" t="s">
        <v>98</v>
      </c>
      <c r="AX7" s="2" t="s">
        <v>52</v>
      </c>
    </row>
    <row r="8" spans="1:50" ht="16.5" customHeight="1" x14ac:dyDescent="0.3">
      <c r="A8" s="36" t="s">
        <v>106</v>
      </c>
      <c r="B8" s="19">
        <v>33</v>
      </c>
      <c r="C8" s="24">
        <v>227.69280000000001</v>
      </c>
      <c r="D8" s="33">
        <f t="shared" si="0"/>
        <v>4.7614554579673776</v>
      </c>
      <c r="E8" s="19" t="s">
        <v>106</v>
      </c>
      <c r="F8" s="32" t="s">
        <v>106</v>
      </c>
      <c r="G8" s="21" t="s">
        <v>152</v>
      </c>
      <c r="H8" s="21" t="s">
        <v>152</v>
      </c>
      <c r="I8" t="s">
        <v>192</v>
      </c>
      <c r="J8" s="3" t="s">
        <v>286</v>
      </c>
      <c r="K8" s="15"/>
      <c r="L8" s="2" t="s">
        <v>47</v>
      </c>
      <c r="M8" s="4" t="s">
        <v>53</v>
      </c>
      <c r="N8" s="2" t="s">
        <v>48</v>
      </c>
      <c r="O8" s="2" t="s">
        <v>49</v>
      </c>
      <c r="P8" s="3" t="s">
        <v>287</v>
      </c>
      <c r="X8" s="18" t="s">
        <v>245</v>
      </c>
      <c r="Y8" s="7" t="s">
        <v>199</v>
      </c>
      <c r="AA8" s="2" t="s">
        <v>99</v>
      </c>
      <c r="AC8" s="2" t="s">
        <v>50</v>
      </c>
      <c r="AD8" s="2" t="s">
        <v>50</v>
      </c>
      <c r="AE8" s="2" t="s">
        <v>50</v>
      </c>
      <c r="AF8" s="7" t="s">
        <v>199</v>
      </c>
      <c r="AG8" s="7" t="s">
        <v>91</v>
      </c>
      <c r="AI8" s="2" t="s">
        <v>51</v>
      </c>
      <c r="AJ8">
        <v>12</v>
      </c>
      <c r="AK8" s="2" t="s">
        <v>60</v>
      </c>
      <c r="AR8" s="17" t="s">
        <v>98</v>
      </c>
      <c r="AS8" s="17" t="s">
        <v>98</v>
      </c>
      <c r="AX8" s="2" t="s">
        <v>52</v>
      </c>
    </row>
    <row r="9" spans="1:50" ht="16.5" customHeight="1" x14ac:dyDescent="0.3">
      <c r="A9" s="36" t="s">
        <v>107</v>
      </c>
      <c r="B9" s="19">
        <v>5</v>
      </c>
      <c r="C9" s="24">
        <v>270.09179999999998</v>
      </c>
      <c r="D9" s="33">
        <f t="shared" si="0"/>
        <v>5.6480928481806769</v>
      </c>
      <c r="E9" s="19" t="s">
        <v>107</v>
      </c>
      <c r="F9" s="32" t="s">
        <v>107</v>
      </c>
      <c r="G9" s="21" t="s">
        <v>153</v>
      </c>
      <c r="H9" s="21" t="s">
        <v>153</v>
      </c>
      <c r="I9" t="s">
        <v>192</v>
      </c>
      <c r="J9" s="3" t="s">
        <v>286</v>
      </c>
      <c r="K9" s="15"/>
      <c r="L9" s="2" t="s">
        <v>47</v>
      </c>
      <c r="M9" s="4" t="s">
        <v>53</v>
      </c>
      <c r="N9" s="2" t="s">
        <v>48</v>
      </c>
      <c r="O9" s="2" t="s">
        <v>49</v>
      </c>
      <c r="P9" s="3" t="s">
        <v>287</v>
      </c>
      <c r="X9" s="18" t="s">
        <v>246</v>
      </c>
      <c r="Y9" s="7" t="s">
        <v>200</v>
      </c>
      <c r="AA9" s="2" t="s">
        <v>99</v>
      </c>
      <c r="AC9" s="2" t="s">
        <v>50</v>
      </c>
      <c r="AD9" s="2" t="s">
        <v>50</v>
      </c>
      <c r="AE9" s="2" t="s">
        <v>50</v>
      </c>
      <c r="AF9" s="7" t="s">
        <v>200</v>
      </c>
      <c r="AG9" s="7" t="s">
        <v>92</v>
      </c>
      <c r="AI9" s="2" t="s">
        <v>51</v>
      </c>
      <c r="AJ9">
        <v>12</v>
      </c>
      <c r="AK9" s="2" t="s">
        <v>61</v>
      </c>
      <c r="AR9" s="17" t="s">
        <v>98</v>
      </c>
      <c r="AS9" s="17" t="s">
        <v>98</v>
      </c>
      <c r="AX9" s="2" t="s">
        <v>52</v>
      </c>
    </row>
    <row r="10" spans="1:50" ht="16.5" customHeight="1" x14ac:dyDescent="0.3">
      <c r="A10" s="36" t="s">
        <v>108</v>
      </c>
      <c r="B10" s="19">
        <v>13</v>
      </c>
      <c r="C10" s="24">
        <v>648.53639999999996</v>
      </c>
      <c r="D10" s="33">
        <f t="shared" si="0"/>
        <v>13.562032622333751</v>
      </c>
      <c r="E10" s="19" t="s">
        <v>108</v>
      </c>
      <c r="F10" s="19" t="s">
        <v>108</v>
      </c>
      <c r="G10" s="21" t="s">
        <v>154</v>
      </c>
      <c r="H10" s="21" t="s">
        <v>154</v>
      </c>
      <c r="I10" t="s">
        <v>192</v>
      </c>
      <c r="J10" s="3" t="s">
        <v>286</v>
      </c>
      <c r="K10" s="15"/>
      <c r="L10" s="2" t="s">
        <v>47</v>
      </c>
      <c r="M10" s="4" t="s">
        <v>53</v>
      </c>
      <c r="N10" s="2" t="s">
        <v>48</v>
      </c>
      <c r="O10" s="2" t="s">
        <v>49</v>
      </c>
      <c r="P10" s="3" t="s">
        <v>287</v>
      </c>
      <c r="X10" s="18" t="s">
        <v>247</v>
      </c>
      <c r="Y10" s="9" t="s">
        <v>201</v>
      </c>
      <c r="AA10" s="2" t="s">
        <v>99</v>
      </c>
      <c r="AB10" s="17"/>
      <c r="AC10" s="2" t="s">
        <v>50</v>
      </c>
      <c r="AD10" s="2" t="s">
        <v>50</v>
      </c>
      <c r="AE10" s="2" t="s">
        <v>50</v>
      </c>
      <c r="AF10" s="9" t="s">
        <v>201</v>
      </c>
      <c r="AG10" s="9" t="s">
        <v>81</v>
      </c>
      <c r="AI10" s="2" t="s">
        <v>51</v>
      </c>
      <c r="AJ10">
        <v>12</v>
      </c>
      <c r="AK10" s="2" t="s">
        <v>62</v>
      </c>
      <c r="AR10" s="17" t="s">
        <v>98</v>
      </c>
      <c r="AS10" s="17" t="s">
        <v>98</v>
      </c>
      <c r="AX10" s="2" t="s">
        <v>52</v>
      </c>
    </row>
    <row r="11" spans="1:50" ht="16.5" customHeight="1" x14ac:dyDescent="0.3">
      <c r="A11" s="36" t="s">
        <v>109</v>
      </c>
      <c r="B11" s="19">
        <v>6</v>
      </c>
      <c r="C11" s="24">
        <v>500.74199999999996</v>
      </c>
      <c r="D11" s="33">
        <f t="shared" si="0"/>
        <v>10.471392722710162</v>
      </c>
      <c r="E11" s="19" t="s">
        <v>109</v>
      </c>
      <c r="F11" s="19" t="s">
        <v>109</v>
      </c>
      <c r="G11" s="21" t="s">
        <v>155</v>
      </c>
      <c r="H11" s="21" t="s">
        <v>155</v>
      </c>
      <c r="I11" t="s">
        <v>192</v>
      </c>
      <c r="J11" s="3" t="s">
        <v>286</v>
      </c>
      <c r="K11" s="15"/>
      <c r="L11" s="2" t="s">
        <v>47</v>
      </c>
      <c r="M11" s="4" t="s">
        <v>53</v>
      </c>
      <c r="N11" s="2" t="s">
        <v>48</v>
      </c>
      <c r="O11" s="2" t="s">
        <v>49</v>
      </c>
      <c r="P11" s="3" t="s">
        <v>287</v>
      </c>
      <c r="X11" s="18" t="s">
        <v>248</v>
      </c>
      <c r="Y11" s="7" t="s">
        <v>202</v>
      </c>
      <c r="AA11" s="2" t="s">
        <v>99</v>
      </c>
      <c r="AC11" s="2" t="s">
        <v>50</v>
      </c>
      <c r="AD11" s="2" t="s">
        <v>50</v>
      </c>
      <c r="AE11" s="2" t="s">
        <v>50</v>
      </c>
      <c r="AF11" s="7" t="s">
        <v>202</v>
      </c>
      <c r="AG11" s="7" t="s">
        <v>82</v>
      </c>
      <c r="AI11" s="2" t="s">
        <v>51</v>
      </c>
      <c r="AJ11">
        <v>12</v>
      </c>
      <c r="AK11" s="2" t="s">
        <v>63</v>
      </c>
      <c r="AR11" s="17" t="s">
        <v>98</v>
      </c>
      <c r="AS11" s="17" t="s">
        <v>98</v>
      </c>
      <c r="AX11" s="2" t="s">
        <v>52</v>
      </c>
    </row>
    <row r="12" spans="1:50" ht="16.5" customHeight="1" x14ac:dyDescent="0.3">
      <c r="A12" s="19" t="s">
        <v>110</v>
      </c>
      <c r="B12" s="19">
        <v>9</v>
      </c>
      <c r="C12" s="24">
        <v>461.07600000000002</v>
      </c>
      <c r="D12" s="33">
        <f t="shared" si="0"/>
        <v>9.6419071518193231</v>
      </c>
      <c r="E12" s="19" t="s">
        <v>110</v>
      </c>
      <c r="F12" s="19" t="s">
        <v>110</v>
      </c>
      <c r="G12" s="21" t="s">
        <v>156</v>
      </c>
      <c r="H12" s="21" t="s">
        <v>156</v>
      </c>
      <c r="I12" t="s">
        <v>192</v>
      </c>
      <c r="J12" s="3" t="s">
        <v>286</v>
      </c>
      <c r="K12" s="15"/>
      <c r="L12" s="2" t="s">
        <v>47</v>
      </c>
      <c r="M12" s="4" t="s">
        <v>53</v>
      </c>
      <c r="N12" s="2" t="s">
        <v>48</v>
      </c>
      <c r="O12" s="2" t="s">
        <v>49</v>
      </c>
      <c r="P12" s="3" t="s">
        <v>287</v>
      </c>
      <c r="X12" s="18" t="s">
        <v>249</v>
      </c>
      <c r="Y12" s="7" t="s">
        <v>203</v>
      </c>
      <c r="AA12" s="2" t="s">
        <v>99</v>
      </c>
      <c r="AC12" s="2" t="s">
        <v>50</v>
      </c>
      <c r="AD12" s="2" t="s">
        <v>50</v>
      </c>
      <c r="AE12" s="2" t="s">
        <v>50</v>
      </c>
      <c r="AF12" s="7" t="s">
        <v>203</v>
      </c>
      <c r="AG12" s="7" t="s">
        <v>83</v>
      </c>
      <c r="AI12" s="2" t="s">
        <v>51</v>
      </c>
      <c r="AJ12">
        <v>12</v>
      </c>
      <c r="AK12" s="2" t="s">
        <v>64</v>
      </c>
      <c r="AR12" s="17" t="s">
        <v>98</v>
      </c>
      <c r="AS12" s="17" t="s">
        <v>98</v>
      </c>
      <c r="AX12" s="2" t="s">
        <v>52</v>
      </c>
    </row>
    <row r="13" spans="1:50" ht="16.5" customHeight="1" x14ac:dyDescent="0.3">
      <c r="A13" s="19" t="s">
        <v>111</v>
      </c>
      <c r="B13" s="19">
        <v>1</v>
      </c>
      <c r="C13" s="24">
        <v>972.69119999999998</v>
      </c>
      <c r="D13" s="33">
        <f t="shared" si="0"/>
        <v>20.340677540777918</v>
      </c>
      <c r="E13" s="19" t="s">
        <v>111</v>
      </c>
      <c r="F13" s="19" t="s">
        <v>111</v>
      </c>
      <c r="G13" s="21" t="s">
        <v>157</v>
      </c>
      <c r="H13" s="21" t="s">
        <v>157</v>
      </c>
      <c r="I13" t="s">
        <v>192</v>
      </c>
      <c r="J13" s="3" t="s">
        <v>286</v>
      </c>
      <c r="K13" s="15"/>
      <c r="L13" s="2" t="s">
        <v>47</v>
      </c>
      <c r="M13" s="4" t="s">
        <v>53</v>
      </c>
      <c r="N13" s="2" t="s">
        <v>48</v>
      </c>
      <c r="O13" s="2" t="s">
        <v>49</v>
      </c>
      <c r="P13" s="3" t="s">
        <v>287</v>
      </c>
      <c r="X13" s="18" t="s">
        <v>250</v>
      </c>
      <c r="Y13" s="7" t="s">
        <v>204</v>
      </c>
      <c r="AA13" s="2" t="s">
        <v>99</v>
      </c>
      <c r="AC13" s="2" t="s">
        <v>50</v>
      </c>
      <c r="AD13" s="2" t="s">
        <v>50</v>
      </c>
      <c r="AE13" s="2" t="s">
        <v>50</v>
      </c>
      <c r="AF13" s="7" t="s">
        <v>204</v>
      </c>
      <c r="AG13" s="7" t="s">
        <v>84</v>
      </c>
      <c r="AI13" s="2" t="s">
        <v>51</v>
      </c>
      <c r="AJ13">
        <v>12</v>
      </c>
      <c r="AK13" s="2" t="s">
        <v>65</v>
      </c>
      <c r="AR13" s="17" t="s">
        <v>98</v>
      </c>
      <c r="AS13" s="17" t="s">
        <v>98</v>
      </c>
      <c r="AX13" s="2" t="s">
        <v>52</v>
      </c>
    </row>
    <row r="14" spans="1:50" ht="16.5" customHeight="1" x14ac:dyDescent="0.3">
      <c r="A14" s="19" t="s">
        <v>112</v>
      </c>
      <c r="B14" s="19">
        <v>8</v>
      </c>
      <c r="C14" s="24">
        <v>1107.6695999999999</v>
      </c>
      <c r="D14" s="33">
        <f t="shared" si="0"/>
        <v>23.163312421580926</v>
      </c>
      <c r="E14" s="19" t="s">
        <v>112</v>
      </c>
      <c r="F14" s="19" t="s">
        <v>112</v>
      </c>
      <c r="G14" s="21" t="s">
        <v>158</v>
      </c>
      <c r="H14" s="21" t="s">
        <v>158</v>
      </c>
      <c r="I14" t="s">
        <v>192</v>
      </c>
      <c r="J14" s="3" t="s">
        <v>286</v>
      </c>
      <c r="K14" s="15"/>
      <c r="L14" s="2" t="s">
        <v>47</v>
      </c>
      <c r="M14" s="4" t="s">
        <v>53</v>
      </c>
      <c r="N14" s="2" t="s">
        <v>48</v>
      </c>
      <c r="O14" s="2" t="s">
        <v>49</v>
      </c>
      <c r="P14" s="3" t="s">
        <v>287</v>
      </c>
      <c r="X14" s="18" t="s">
        <v>251</v>
      </c>
      <c r="Y14" s="7" t="s">
        <v>205</v>
      </c>
      <c r="AA14" s="2" t="s">
        <v>99</v>
      </c>
      <c r="AC14" s="2" t="s">
        <v>50</v>
      </c>
      <c r="AD14" s="2" t="s">
        <v>50</v>
      </c>
      <c r="AE14" s="2" t="s">
        <v>50</v>
      </c>
      <c r="AF14" s="7" t="s">
        <v>205</v>
      </c>
      <c r="AG14" s="7" t="s">
        <v>76</v>
      </c>
      <c r="AI14" s="2" t="s">
        <v>51</v>
      </c>
      <c r="AJ14">
        <v>12</v>
      </c>
      <c r="AK14" s="2" t="s">
        <v>66</v>
      </c>
      <c r="AR14" s="17" t="s">
        <v>98</v>
      </c>
      <c r="AS14" s="17" t="s">
        <v>98</v>
      </c>
      <c r="AX14" s="2" t="s">
        <v>52</v>
      </c>
    </row>
    <row r="15" spans="1:50" ht="16.5" customHeight="1" x14ac:dyDescent="0.3">
      <c r="A15" s="19" t="s">
        <v>113</v>
      </c>
      <c r="B15" s="19">
        <v>7</v>
      </c>
      <c r="C15" s="24">
        <v>870.52799999999991</v>
      </c>
      <c r="D15" s="33">
        <f t="shared" si="0"/>
        <v>18.204265997490587</v>
      </c>
      <c r="E15" s="19" t="s">
        <v>113</v>
      </c>
      <c r="F15" s="19" t="s">
        <v>113</v>
      </c>
      <c r="G15" s="21" t="s">
        <v>159</v>
      </c>
      <c r="H15" s="21" t="s">
        <v>159</v>
      </c>
      <c r="I15" t="s">
        <v>192</v>
      </c>
      <c r="J15" s="3" t="s">
        <v>286</v>
      </c>
      <c r="K15" s="15"/>
      <c r="L15" s="2" t="s">
        <v>47</v>
      </c>
      <c r="M15" s="4" t="s">
        <v>53</v>
      </c>
      <c r="N15" s="2" t="s">
        <v>48</v>
      </c>
      <c r="O15" s="2" t="s">
        <v>49</v>
      </c>
      <c r="P15" s="3" t="s">
        <v>287</v>
      </c>
      <c r="X15" s="18" t="s">
        <v>252</v>
      </c>
      <c r="Y15" s="7" t="s">
        <v>206</v>
      </c>
      <c r="AA15" s="2" t="s">
        <v>99</v>
      </c>
      <c r="AC15" s="2" t="s">
        <v>50</v>
      </c>
      <c r="AD15" s="2" t="s">
        <v>50</v>
      </c>
      <c r="AE15" s="2" t="s">
        <v>50</v>
      </c>
      <c r="AF15" s="7" t="s">
        <v>206</v>
      </c>
      <c r="AG15" s="7" t="s">
        <v>77</v>
      </c>
      <c r="AI15" s="2" t="s">
        <v>51</v>
      </c>
      <c r="AJ15">
        <v>12</v>
      </c>
      <c r="AK15" s="2" t="s">
        <v>67</v>
      </c>
      <c r="AR15" s="17" t="s">
        <v>98</v>
      </c>
      <c r="AS15" s="17" t="s">
        <v>98</v>
      </c>
      <c r="AX15" s="2" t="s">
        <v>52</v>
      </c>
    </row>
    <row r="16" spans="1:50" ht="16.5" customHeight="1" x14ac:dyDescent="0.3">
      <c r="A16" s="19" t="s">
        <v>114</v>
      </c>
      <c r="B16" s="19">
        <v>2</v>
      </c>
      <c r="C16" s="24">
        <v>845.89080000000001</v>
      </c>
      <c r="D16" s="33">
        <f t="shared" si="0"/>
        <v>17.689058971141783</v>
      </c>
      <c r="E16" s="19" t="s">
        <v>114</v>
      </c>
      <c r="F16" s="19" t="s">
        <v>114</v>
      </c>
      <c r="G16" s="21" t="s">
        <v>160</v>
      </c>
      <c r="H16" s="21" t="s">
        <v>160</v>
      </c>
      <c r="I16" t="s">
        <v>192</v>
      </c>
      <c r="J16" s="3" t="s">
        <v>286</v>
      </c>
      <c r="K16" s="15"/>
      <c r="L16" s="2" t="s">
        <v>47</v>
      </c>
      <c r="M16" s="4" t="s">
        <v>53</v>
      </c>
      <c r="N16" s="2" t="s">
        <v>48</v>
      </c>
      <c r="O16" s="2" t="s">
        <v>49</v>
      </c>
      <c r="P16" s="3" t="s">
        <v>287</v>
      </c>
      <c r="X16" s="18" t="s">
        <v>253</v>
      </c>
      <c r="Y16" s="7" t="s">
        <v>207</v>
      </c>
      <c r="AA16" s="2" t="s">
        <v>99</v>
      </c>
      <c r="AB16" s="17"/>
      <c r="AC16" s="2" t="s">
        <v>50</v>
      </c>
      <c r="AD16" s="2" t="s">
        <v>50</v>
      </c>
      <c r="AE16" s="2" t="s">
        <v>50</v>
      </c>
      <c r="AF16" s="7" t="s">
        <v>207</v>
      </c>
      <c r="AG16" s="7" t="s">
        <v>93</v>
      </c>
      <c r="AI16" s="2" t="s">
        <v>51</v>
      </c>
      <c r="AJ16">
        <v>12</v>
      </c>
      <c r="AK16" s="2" t="s">
        <v>68</v>
      </c>
      <c r="AR16" s="17" t="s">
        <v>98</v>
      </c>
      <c r="AS16" s="17" t="s">
        <v>98</v>
      </c>
      <c r="AX16" s="2" t="s">
        <v>52</v>
      </c>
    </row>
    <row r="17" spans="1:50" ht="16.5" customHeight="1" x14ac:dyDescent="0.3">
      <c r="A17" s="19" t="s">
        <v>115</v>
      </c>
      <c r="B17" s="19">
        <v>10</v>
      </c>
      <c r="C17" s="24">
        <v>1435.71336</v>
      </c>
      <c r="D17" s="33">
        <f t="shared" si="0"/>
        <v>30.023282308657464</v>
      </c>
      <c r="E17" s="19" t="s">
        <v>115</v>
      </c>
      <c r="F17" s="19" t="s">
        <v>115</v>
      </c>
      <c r="G17" s="21" t="s">
        <v>161</v>
      </c>
      <c r="H17" s="21" t="s">
        <v>161</v>
      </c>
      <c r="I17" t="s">
        <v>192</v>
      </c>
      <c r="J17" s="3"/>
      <c r="K17" s="15"/>
      <c r="L17" s="2" t="s">
        <v>47</v>
      </c>
      <c r="M17" s="4" t="s">
        <v>53</v>
      </c>
      <c r="N17" s="2" t="s">
        <v>48</v>
      </c>
      <c r="O17" s="2" t="s">
        <v>49</v>
      </c>
      <c r="P17" s="3"/>
      <c r="X17" s="18" t="s">
        <v>259</v>
      </c>
      <c r="Y17" s="7" t="s">
        <v>208</v>
      </c>
      <c r="AA17" s="2" t="s">
        <v>99</v>
      </c>
      <c r="AC17" s="2" t="s">
        <v>50</v>
      </c>
      <c r="AD17" s="2" t="s">
        <v>50</v>
      </c>
      <c r="AE17" s="2" t="s">
        <v>50</v>
      </c>
      <c r="AF17" s="7" t="s">
        <v>208</v>
      </c>
      <c r="AG17" s="7" t="s">
        <v>94</v>
      </c>
      <c r="AI17" s="2" t="s">
        <v>51</v>
      </c>
      <c r="AJ17">
        <v>12</v>
      </c>
      <c r="AK17" s="2" t="s">
        <v>69</v>
      </c>
      <c r="AR17" s="17" t="s">
        <v>98</v>
      </c>
      <c r="AS17" s="17" t="s">
        <v>98</v>
      </c>
      <c r="AX17" s="2" t="s">
        <v>52</v>
      </c>
    </row>
    <row r="18" spans="1:50" ht="16.5" customHeight="1" x14ac:dyDescent="0.3">
      <c r="A18" s="19" t="s">
        <v>116</v>
      </c>
      <c r="B18" s="19">
        <v>23</v>
      </c>
      <c r="C18" s="24">
        <v>695.36171999999999</v>
      </c>
      <c r="D18" s="33">
        <f t="shared" si="0"/>
        <v>14.541232120451694</v>
      </c>
      <c r="E18" s="19" t="s">
        <v>116</v>
      </c>
      <c r="F18" s="19" t="s">
        <v>116</v>
      </c>
      <c r="G18" s="21" t="s">
        <v>186</v>
      </c>
      <c r="H18" s="21" t="s">
        <v>186</v>
      </c>
      <c r="I18" t="s">
        <v>192</v>
      </c>
      <c r="J18" s="3" t="s">
        <v>286</v>
      </c>
      <c r="K18" s="15"/>
      <c r="L18" s="2" t="s">
        <v>47</v>
      </c>
      <c r="M18" s="4" t="s">
        <v>53</v>
      </c>
      <c r="N18" s="2" t="s">
        <v>48</v>
      </c>
      <c r="O18" s="2" t="s">
        <v>49</v>
      </c>
      <c r="P18" s="3" t="s">
        <v>287</v>
      </c>
      <c r="X18" s="18" t="s">
        <v>260</v>
      </c>
      <c r="Y18" s="7" t="s">
        <v>209</v>
      </c>
      <c r="AA18" s="2" t="s">
        <v>99</v>
      </c>
      <c r="AB18" s="17"/>
      <c r="AC18" s="2" t="s">
        <v>50</v>
      </c>
      <c r="AD18" s="2" t="s">
        <v>50</v>
      </c>
      <c r="AE18" s="2" t="s">
        <v>50</v>
      </c>
      <c r="AF18" s="7" t="s">
        <v>209</v>
      </c>
      <c r="AG18" s="7" t="s">
        <v>95</v>
      </c>
      <c r="AI18" s="2" t="s">
        <v>51</v>
      </c>
      <c r="AJ18">
        <v>12</v>
      </c>
      <c r="AK18" s="2" t="s">
        <v>70</v>
      </c>
      <c r="AR18" s="17" t="s">
        <v>98</v>
      </c>
      <c r="AS18" s="17" t="s">
        <v>98</v>
      </c>
      <c r="AX18" s="2" t="s">
        <v>52</v>
      </c>
    </row>
    <row r="19" spans="1:50" ht="16.5" customHeight="1" x14ac:dyDescent="0.3">
      <c r="A19" s="19" t="s">
        <v>117</v>
      </c>
      <c r="B19" s="19">
        <v>1</v>
      </c>
      <c r="C19" s="24">
        <v>1064.8596</v>
      </c>
      <c r="D19" s="33">
        <f t="shared" si="0"/>
        <v>22.268080301129235</v>
      </c>
      <c r="E19" s="19" t="s">
        <v>117</v>
      </c>
      <c r="F19" s="19" t="s">
        <v>117</v>
      </c>
      <c r="G19" s="21" t="s">
        <v>183</v>
      </c>
      <c r="H19" s="21" t="s">
        <v>183</v>
      </c>
      <c r="I19" t="s">
        <v>192</v>
      </c>
      <c r="J19" s="3" t="s">
        <v>286</v>
      </c>
      <c r="K19" s="15"/>
      <c r="L19" s="2" t="s">
        <v>47</v>
      </c>
      <c r="M19" s="4" t="s">
        <v>53</v>
      </c>
      <c r="N19" s="2" t="s">
        <v>48</v>
      </c>
      <c r="O19" s="2" t="s">
        <v>49</v>
      </c>
      <c r="P19" s="3" t="s">
        <v>287</v>
      </c>
      <c r="X19" s="18" t="s">
        <v>254</v>
      </c>
      <c r="Y19" s="7" t="s">
        <v>210</v>
      </c>
      <c r="AA19" s="2" t="s">
        <v>99</v>
      </c>
      <c r="AC19" s="2" t="s">
        <v>50</v>
      </c>
      <c r="AD19" s="2" t="s">
        <v>50</v>
      </c>
      <c r="AE19" s="2" t="s">
        <v>50</v>
      </c>
      <c r="AF19" s="7" t="s">
        <v>210</v>
      </c>
      <c r="AG19" s="7" t="s">
        <v>96</v>
      </c>
      <c r="AI19" s="2" t="s">
        <v>51</v>
      </c>
      <c r="AJ19">
        <v>12</v>
      </c>
      <c r="AK19" s="2" t="s">
        <v>71</v>
      </c>
      <c r="AR19" s="17" t="s">
        <v>98</v>
      </c>
      <c r="AS19" s="17" t="s">
        <v>98</v>
      </c>
      <c r="AX19" s="2" t="s">
        <v>52</v>
      </c>
    </row>
    <row r="20" spans="1:50" ht="16.5" customHeight="1" x14ac:dyDescent="0.3">
      <c r="A20" s="19" t="s">
        <v>118</v>
      </c>
      <c r="B20" s="19">
        <v>16</v>
      </c>
      <c r="C20" s="24">
        <v>1223.9952000000001</v>
      </c>
      <c r="D20" s="33">
        <f t="shared" si="0"/>
        <v>25.595884567126728</v>
      </c>
      <c r="E20" s="32" t="s">
        <v>118</v>
      </c>
      <c r="F20" s="19" t="s">
        <v>118</v>
      </c>
      <c r="G20" s="21" t="s">
        <v>184</v>
      </c>
      <c r="H20" s="21" t="s">
        <v>184</v>
      </c>
      <c r="I20" t="s">
        <v>192</v>
      </c>
      <c r="J20" s="3" t="s">
        <v>286</v>
      </c>
      <c r="K20" s="16"/>
      <c r="L20" s="2" t="s">
        <v>47</v>
      </c>
      <c r="M20" s="4" t="s">
        <v>53</v>
      </c>
      <c r="N20" s="2" t="s">
        <v>48</v>
      </c>
      <c r="O20" s="2" t="s">
        <v>49</v>
      </c>
      <c r="P20" s="3" t="s">
        <v>287</v>
      </c>
      <c r="X20" s="18" t="s">
        <v>255</v>
      </c>
      <c r="Y20" s="7" t="s">
        <v>211</v>
      </c>
      <c r="AA20" s="2" t="s">
        <v>99</v>
      </c>
      <c r="AC20" s="2" t="s">
        <v>50</v>
      </c>
      <c r="AD20" s="2" t="s">
        <v>50</v>
      </c>
      <c r="AE20" s="2" t="s">
        <v>50</v>
      </c>
      <c r="AF20" s="7" t="s">
        <v>211</v>
      </c>
      <c r="AG20" s="7" t="s">
        <v>78</v>
      </c>
      <c r="AI20" s="2" t="s">
        <v>51</v>
      </c>
      <c r="AJ20">
        <v>12</v>
      </c>
      <c r="AK20" s="2" t="s">
        <v>72</v>
      </c>
      <c r="AR20" s="17" t="s">
        <v>98</v>
      </c>
      <c r="AS20" s="17" t="s">
        <v>98</v>
      </c>
      <c r="AX20" s="2" t="s">
        <v>52</v>
      </c>
    </row>
    <row r="21" spans="1:50" ht="16.5" customHeight="1" x14ac:dyDescent="0.3">
      <c r="A21" s="19" t="s">
        <v>119</v>
      </c>
      <c r="B21" s="19">
        <v>2</v>
      </c>
      <c r="C21" s="24">
        <v>1121</v>
      </c>
      <c r="D21" s="33">
        <f t="shared" si="0"/>
        <v>23.442074445838561</v>
      </c>
      <c r="E21" s="19" t="s">
        <v>119</v>
      </c>
      <c r="F21" s="19" t="s">
        <v>119</v>
      </c>
      <c r="G21" s="21" t="s">
        <v>185</v>
      </c>
      <c r="H21" s="21" t="s">
        <v>185</v>
      </c>
      <c r="I21" t="s">
        <v>192</v>
      </c>
      <c r="J21" s="3" t="s">
        <v>286</v>
      </c>
      <c r="K21" s="15"/>
      <c r="L21" s="2" t="s">
        <v>47</v>
      </c>
      <c r="M21" s="4" t="s">
        <v>53</v>
      </c>
      <c r="N21" s="2" t="s">
        <v>48</v>
      </c>
      <c r="O21" s="2" t="s">
        <v>49</v>
      </c>
      <c r="P21" s="3" t="s">
        <v>287</v>
      </c>
      <c r="X21" s="18" t="s">
        <v>256</v>
      </c>
      <c r="Y21" s="7" t="s">
        <v>212</v>
      </c>
      <c r="AA21" s="2" t="s">
        <v>99</v>
      </c>
      <c r="AC21" s="2" t="s">
        <v>50</v>
      </c>
      <c r="AD21" s="2" t="s">
        <v>50</v>
      </c>
      <c r="AE21" s="2" t="s">
        <v>50</v>
      </c>
      <c r="AF21" s="7" t="s">
        <v>212</v>
      </c>
      <c r="AG21" s="7" t="s">
        <v>79</v>
      </c>
      <c r="AI21" s="2" t="s">
        <v>51</v>
      </c>
      <c r="AJ21">
        <v>12</v>
      </c>
      <c r="AK21" s="2" t="s">
        <v>73</v>
      </c>
      <c r="AR21" s="17" t="s">
        <v>98</v>
      </c>
      <c r="AS21" s="17" t="s">
        <v>98</v>
      </c>
      <c r="AX21" s="2" t="s">
        <v>52</v>
      </c>
    </row>
    <row r="22" spans="1:50" ht="16.5" customHeight="1" x14ac:dyDescent="0.3">
      <c r="A22" s="19" t="s">
        <v>120</v>
      </c>
      <c r="B22" s="19">
        <v>1</v>
      </c>
      <c r="C22" s="24">
        <v>2988</v>
      </c>
      <c r="D22" s="33">
        <f t="shared" si="0"/>
        <v>62.484316185696358</v>
      </c>
      <c r="E22" s="29" t="s">
        <v>120</v>
      </c>
      <c r="F22" s="19" t="s">
        <v>120</v>
      </c>
      <c r="G22" s="21" t="s">
        <v>162</v>
      </c>
      <c r="H22" s="21" t="s">
        <v>162</v>
      </c>
      <c r="I22" t="s">
        <v>192</v>
      </c>
      <c r="J22" s="3" t="s">
        <v>285</v>
      </c>
      <c r="K22" s="15"/>
      <c r="L22" s="2" t="s">
        <v>47</v>
      </c>
      <c r="M22" s="4" t="s">
        <v>53</v>
      </c>
      <c r="N22" s="2" t="s">
        <v>48</v>
      </c>
      <c r="O22" s="2" t="s">
        <v>49</v>
      </c>
      <c r="P22" s="3" t="s">
        <v>285</v>
      </c>
      <c r="X22" s="18" t="s">
        <v>262</v>
      </c>
      <c r="Y22" s="7" t="s">
        <v>213</v>
      </c>
      <c r="AA22" s="2" t="s">
        <v>99</v>
      </c>
      <c r="AB22" s="17"/>
      <c r="AC22" s="2" t="s">
        <v>50</v>
      </c>
      <c r="AD22" s="2" t="s">
        <v>50</v>
      </c>
      <c r="AE22" s="2" t="s">
        <v>50</v>
      </c>
      <c r="AF22" s="7" t="s">
        <v>213</v>
      </c>
      <c r="AG22" s="7" t="s">
        <v>80</v>
      </c>
      <c r="AI22" s="2" t="s">
        <v>51</v>
      </c>
      <c r="AJ22">
        <v>12</v>
      </c>
      <c r="AK22" s="2" t="s">
        <v>74</v>
      </c>
      <c r="AR22" s="17" t="s">
        <v>98</v>
      </c>
      <c r="AS22" s="17" t="s">
        <v>98</v>
      </c>
    </row>
    <row r="23" spans="1:50" ht="16.5" customHeight="1" x14ac:dyDescent="0.3">
      <c r="A23" s="11" t="s">
        <v>121</v>
      </c>
      <c r="B23" s="11">
        <v>1</v>
      </c>
      <c r="C23" s="24">
        <v>69905</v>
      </c>
      <c r="D23" s="33">
        <f t="shared" si="0"/>
        <v>1461.836051861146</v>
      </c>
      <c r="E23" s="30" t="s">
        <v>121</v>
      </c>
      <c r="F23" s="11" t="s">
        <v>121</v>
      </c>
      <c r="G23" s="21" t="s">
        <v>163</v>
      </c>
      <c r="H23" s="21" t="s">
        <v>163</v>
      </c>
      <c r="I23" t="s">
        <v>192</v>
      </c>
      <c r="J23" s="3" t="s">
        <v>288</v>
      </c>
      <c r="K23" s="15"/>
      <c r="L23" s="2" t="s">
        <v>47</v>
      </c>
      <c r="M23" s="4" t="s">
        <v>53</v>
      </c>
      <c r="N23" s="2" t="s">
        <v>48</v>
      </c>
      <c r="O23" s="2" t="s">
        <v>49</v>
      </c>
      <c r="P23" s="3" t="s">
        <v>289</v>
      </c>
      <c r="X23" s="18" t="s">
        <v>263</v>
      </c>
      <c r="Y23" s="7" t="s">
        <v>214</v>
      </c>
      <c r="AA23" s="2" t="s">
        <v>99</v>
      </c>
      <c r="AC23" s="2" t="s">
        <v>50</v>
      </c>
      <c r="AD23" s="2" t="s">
        <v>50</v>
      </c>
      <c r="AE23" s="2" t="s">
        <v>50</v>
      </c>
      <c r="AF23" s="7" t="s">
        <v>214</v>
      </c>
      <c r="AG23" s="7" t="s">
        <v>85</v>
      </c>
      <c r="AI23" s="2" t="s">
        <v>51</v>
      </c>
      <c r="AJ23">
        <v>12</v>
      </c>
      <c r="AR23" s="17" t="s">
        <v>98</v>
      </c>
      <c r="AS23" s="17" t="s">
        <v>98</v>
      </c>
    </row>
    <row r="24" spans="1:50" ht="16.5" customHeight="1" x14ac:dyDescent="0.3">
      <c r="A24" s="19" t="s">
        <v>122</v>
      </c>
      <c r="B24" s="19">
        <v>1</v>
      </c>
      <c r="C24" s="24">
        <v>87312</v>
      </c>
      <c r="D24" s="33">
        <f t="shared" si="0"/>
        <v>1825.8469259723965</v>
      </c>
      <c r="E24" s="29" t="s">
        <v>122</v>
      </c>
      <c r="F24" s="19" t="s">
        <v>122</v>
      </c>
      <c r="G24" s="21" t="s">
        <v>164</v>
      </c>
      <c r="H24" s="21" t="s">
        <v>164</v>
      </c>
      <c r="I24" t="s">
        <v>192</v>
      </c>
      <c r="J24" s="3" t="s">
        <v>288</v>
      </c>
      <c r="K24" s="15"/>
      <c r="L24" s="2" t="s">
        <v>47</v>
      </c>
      <c r="M24" s="4" t="s">
        <v>53</v>
      </c>
      <c r="N24" s="2" t="s">
        <v>48</v>
      </c>
      <c r="O24" s="2" t="s">
        <v>49</v>
      </c>
      <c r="P24" s="3" t="s">
        <v>289</v>
      </c>
      <c r="X24" s="18" t="s">
        <v>264</v>
      </c>
      <c r="Y24" s="7" t="s">
        <v>215</v>
      </c>
      <c r="AA24" s="2" t="s">
        <v>99</v>
      </c>
      <c r="AC24" s="2" t="s">
        <v>50</v>
      </c>
      <c r="AD24" s="2" t="s">
        <v>50</v>
      </c>
      <c r="AE24" s="2" t="s">
        <v>50</v>
      </c>
      <c r="AF24" s="7" t="s">
        <v>215</v>
      </c>
      <c r="AG24" s="7" t="s">
        <v>86</v>
      </c>
      <c r="AI24" s="2" t="s">
        <v>51</v>
      </c>
      <c r="AJ24">
        <v>12</v>
      </c>
      <c r="AR24" s="17" t="s">
        <v>98</v>
      </c>
      <c r="AS24" s="17" t="s">
        <v>98</v>
      </c>
    </row>
    <row r="25" spans="1:50" ht="16.5" customHeight="1" x14ac:dyDescent="0.3">
      <c r="A25" s="11" t="s">
        <v>123</v>
      </c>
      <c r="B25" s="11">
        <v>1</v>
      </c>
      <c r="C25" s="24">
        <v>32956</v>
      </c>
      <c r="D25" s="33">
        <f t="shared" si="0"/>
        <v>689.16771225428693</v>
      </c>
      <c r="E25" s="30" t="s">
        <v>123</v>
      </c>
      <c r="F25" s="11" t="s">
        <v>123</v>
      </c>
      <c r="G25" s="21" t="s">
        <v>165</v>
      </c>
      <c r="H25" s="21" t="s">
        <v>165</v>
      </c>
      <c r="I25" t="s">
        <v>192</v>
      </c>
      <c r="J25" s="3" t="s">
        <v>288</v>
      </c>
      <c r="K25" s="15"/>
      <c r="L25" s="2"/>
      <c r="M25" s="4"/>
      <c r="N25" s="2"/>
      <c r="O25" s="2"/>
      <c r="P25" s="3" t="s">
        <v>289</v>
      </c>
      <c r="X25" s="18" t="s">
        <v>265</v>
      </c>
      <c r="Y25" s="7" t="s">
        <v>216</v>
      </c>
      <c r="AA25" s="2" t="s">
        <v>99</v>
      </c>
      <c r="AB25" s="17"/>
      <c r="AC25" s="2"/>
      <c r="AD25" s="2"/>
      <c r="AE25" s="2"/>
      <c r="AF25" s="7" t="s">
        <v>216</v>
      </c>
      <c r="AG25" s="7"/>
      <c r="AI25" s="2"/>
      <c r="AR25" s="17"/>
      <c r="AS25" s="17"/>
    </row>
    <row r="26" spans="1:50" ht="16.5" customHeight="1" x14ac:dyDescent="0.3">
      <c r="A26" s="11" t="s">
        <v>124</v>
      </c>
      <c r="B26" s="11">
        <v>5</v>
      </c>
      <c r="C26" s="24">
        <v>1897.038</v>
      </c>
      <c r="D26" s="33">
        <f t="shared" si="0"/>
        <v>39.670388958594728</v>
      </c>
      <c r="E26" s="30" t="s">
        <v>124</v>
      </c>
      <c r="F26" s="11" t="s">
        <v>124</v>
      </c>
      <c r="G26" s="21" t="s">
        <v>166</v>
      </c>
      <c r="H26" s="21" t="s">
        <v>166</v>
      </c>
      <c r="I26" t="s">
        <v>192</v>
      </c>
      <c r="J26" s="11" t="s">
        <v>286</v>
      </c>
      <c r="K26" s="15"/>
      <c r="L26" s="2"/>
      <c r="M26" s="4"/>
      <c r="N26" s="2"/>
      <c r="O26" s="2"/>
      <c r="P26" s="11" t="s">
        <v>287</v>
      </c>
      <c r="X26" s="6" t="s">
        <v>257</v>
      </c>
      <c r="Y26" s="7" t="s">
        <v>217</v>
      </c>
      <c r="AA26" s="2" t="s">
        <v>99</v>
      </c>
      <c r="AC26" s="2"/>
      <c r="AD26" s="2"/>
      <c r="AE26" s="2"/>
      <c r="AF26" s="7" t="s">
        <v>217</v>
      </c>
      <c r="AG26" s="7"/>
      <c r="AI26" s="2"/>
      <c r="AR26" s="17"/>
      <c r="AS26" s="17"/>
    </row>
    <row r="27" spans="1:50" ht="16.5" customHeight="1" x14ac:dyDescent="0.3">
      <c r="A27" s="11" t="s">
        <v>125</v>
      </c>
      <c r="B27" s="11">
        <v>2</v>
      </c>
      <c r="C27" s="24">
        <v>21042.316800000004</v>
      </c>
      <c r="D27" s="33">
        <f t="shared" si="0"/>
        <v>440.03171894604776</v>
      </c>
      <c r="E27" s="30" t="s">
        <v>125</v>
      </c>
      <c r="F27" s="11" t="s">
        <v>125</v>
      </c>
      <c r="G27" s="21" t="s">
        <v>167</v>
      </c>
      <c r="H27" s="21" t="s">
        <v>167</v>
      </c>
      <c r="I27" t="s">
        <v>192</v>
      </c>
      <c r="J27" s="11"/>
      <c r="K27" s="15"/>
      <c r="L27" s="2"/>
      <c r="M27" s="4"/>
      <c r="N27" s="2"/>
      <c r="O27" s="2"/>
      <c r="P27" s="11"/>
      <c r="X27" s="6" t="s">
        <v>266</v>
      </c>
      <c r="Y27" s="7" t="s">
        <v>218</v>
      </c>
      <c r="AA27" s="2" t="s">
        <v>99</v>
      </c>
      <c r="AB27" s="17"/>
      <c r="AC27" s="2"/>
      <c r="AD27" s="2"/>
      <c r="AE27" s="2"/>
      <c r="AF27" s="7" t="s">
        <v>218</v>
      </c>
      <c r="AG27" s="7"/>
      <c r="AI27" s="2"/>
      <c r="AR27" s="17"/>
      <c r="AS27" s="17"/>
    </row>
    <row r="28" spans="1:50" ht="16.5" customHeight="1" x14ac:dyDescent="0.3">
      <c r="A28" s="11" t="s">
        <v>126</v>
      </c>
      <c r="B28" s="11">
        <v>10</v>
      </c>
      <c r="C28" s="24">
        <v>235.43519999999995</v>
      </c>
      <c r="D28" s="33">
        <f t="shared" si="0"/>
        <v>4.9233626097866994</v>
      </c>
      <c r="E28" s="11" t="s">
        <v>126</v>
      </c>
      <c r="F28" s="11" t="s">
        <v>126</v>
      </c>
      <c r="G28" s="21" t="s">
        <v>187</v>
      </c>
      <c r="H28" s="21" t="s">
        <v>187</v>
      </c>
      <c r="I28" t="s">
        <v>192</v>
      </c>
      <c r="J28" s="11"/>
      <c r="K28" s="15"/>
      <c r="L28" s="2"/>
      <c r="M28" s="4"/>
      <c r="N28" s="2"/>
      <c r="O28" s="2"/>
      <c r="P28" s="11"/>
      <c r="X28" s="6" t="s">
        <v>261</v>
      </c>
      <c r="Y28" s="7" t="s">
        <v>219</v>
      </c>
      <c r="AA28" s="2" t="s">
        <v>99</v>
      </c>
      <c r="AC28" s="2"/>
      <c r="AD28" s="2"/>
      <c r="AE28" s="2"/>
      <c r="AF28" s="7" t="s">
        <v>219</v>
      </c>
      <c r="AG28" s="7"/>
      <c r="AI28" s="2"/>
      <c r="AR28" s="17"/>
      <c r="AS28" s="17"/>
    </row>
    <row r="29" spans="1:50" ht="16.5" customHeight="1" x14ac:dyDescent="0.3">
      <c r="A29" s="11" t="s">
        <v>127</v>
      </c>
      <c r="B29" s="11">
        <v>1</v>
      </c>
      <c r="C29" s="24">
        <v>7089.8352000000004</v>
      </c>
      <c r="D29" s="33">
        <f t="shared" si="0"/>
        <v>148.26087829360102</v>
      </c>
      <c r="E29" s="31" t="s">
        <v>127</v>
      </c>
      <c r="F29" s="11" t="s">
        <v>127</v>
      </c>
      <c r="G29" s="21" t="s">
        <v>168</v>
      </c>
      <c r="H29" s="21" t="s">
        <v>168</v>
      </c>
      <c r="I29" t="s">
        <v>192</v>
      </c>
      <c r="J29" s="11"/>
      <c r="K29" s="15"/>
      <c r="L29" s="2"/>
      <c r="M29" s="4"/>
      <c r="N29" s="2"/>
      <c r="O29" s="2"/>
      <c r="P29" s="11"/>
      <c r="X29" s="6" t="s">
        <v>267</v>
      </c>
      <c r="Y29" s="7" t="s">
        <v>220</v>
      </c>
      <c r="AA29" s="2" t="s">
        <v>99</v>
      </c>
      <c r="AC29" s="2"/>
      <c r="AD29" s="2"/>
      <c r="AE29" s="2"/>
      <c r="AF29" s="7" t="s">
        <v>220</v>
      </c>
      <c r="AG29" s="7"/>
      <c r="AI29" s="2"/>
      <c r="AR29" s="17"/>
      <c r="AS29" s="17"/>
    </row>
    <row r="30" spans="1:50" ht="16.5" customHeight="1" x14ac:dyDescent="0.3">
      <c r="A30" s="11" t="s">
        <v>128</v>
      </c>
      <c r="B30" s="11">
        <v>1</v>
      </c>
      <c r="C30" s="24">
        <v>3248.7336</v>
      </c>
      <c r="D30" s="33">
        <f t="shared" si="0"/>
        <v>67.936712672521963</v>
      </c>
      <c r="E30" s="14" t="s">
        <v>128</v>
      </c>
      <c r="F30" s="11" t="s">
        <v>128</v>
      </c>
      <c r="G30" s="21" t="s">
        <v>169</v>
      </c>
      <c r="H30" s="21" t="s">
        <v>169</v>
      </c>
      <c r="I30" t="s">
        <v>192</v>
      </c>
      <c r="J30" s="11"/>
      <c r="K30" s="15"/>
      <c r="L30" s="2"/>
      <c r="M30" s="4"/>
      <c r="N30" s="2"/>
      <c r="O30" s="2"/>
      <c r="P30" s="11"/>
      <c r="X30" s="6" t="s">
        <v>268</v>
      </c>
      <c r="Y30" s="7" t="s">
        <v>221</v>
      </c>
      <c r="AA30" s="2" t="s">
        <v>99</v>
      </c>
      <c r="AC30" s="2"/>
      <c r="AD30" s="2"/>
      <c r="AE30" s="2"/>
      <c r="AF30" s="7" t="s">
        <v>221</v>
      </c>
      <c r="AG30" s="7"/>
      <c r="AI30" s="2"/>
      <c r="AR30" s="17"/>
      <c r="AS30" s="17"/>
    </row>
    <row r="31" spans="1:50" ht="16.5" customHeight="1" x14ac:dyDescent="0.3">
      <c r="A31" s="11" t="s">
        <v>129</v>
      </c>
      <c r="B31" s="11">
        <v>11</v>
      </c>
      <c r="C31" s="24">
        <v>179.6352</v>
      </c>
      <c r="D31" s="33">
        <f t="shared" si="0"/>
        <v>3.7564868255959847</v>
      </c>
      <c r="E31" s="11" t="s">
        <v>129</v>
      </c>
      <c r="F31" s="11" t="s">
        <v>129</v>
      </c>
      <c r="G31" s="21" t="s">
        <v>188</v>
      </c>
      <c r="H31" s="21" t="s">
        <v>188</v>
      </c>
      <c r="I31" t="s">
        <v>192</v>
      </c>
      <c r="J31" s="11" t="s">
        <v>286</v>
      </c>
      <c r="K31" s="15"/>
      <c r="L31" s="2"/>
      <c r="M31" s="4"/>
      <c r="N31" s="2"/>
      <c r="O31" s="2"/>
      <c r="P31" s="11" t="s">
        <v>287</v>
      </c>
      <c r="X31" s="6" t="s">
        <v>258</v>
      </c>
      <c r="Y31" s="7" t="s">
        <v>222</v>
      </c>
      <c r="AA31" s="2" t="s">
        <v>99</v>
      </c>
      <c r="AC31" s="2"/>
      <c r="AD31" s="2"/>
      <c r="AE31" s="2"/>
      <c r="AF31" s="7" t="s">
        <v>222</v>
      </c>
      <c r="AG31" s="7"/>
      <c r="AI31" s="2"/>
      <c r="AR31" s="17"/>
      <c r="AS31" s="17"/>
    </row>
    <row r="32" spans="1:50" ht="16.5" customHeight="1" x14ac:dyDescent="0.3">
      <c r="A32" s="11" t="s">
        <v>130</v>
      </c>
      <c r="B32" s="11">
        <v>0</v>
      </c>
      <c r="C32" s="24">
        <v>5408.4888000000001</v>
      </c>
      <c r="D32" s="33">
        <f t="shared" si="0"/>
        <v>113.10097867001255</v>
      </c>
      <c r="E32" s="30" t="s">
        <v>130</v>
      </c>
      <c r="F32" s="11" t="s">
        <v>130</v>
      </c>
      <c r="G32" s="21" t="s">
        <v>170</v>
      </c>
      <c r="H32" s="21" t="s">
        <v>170</v>
      </c>
      <c r="I32" t="s">
        <v>192</v>
      </c>
      <c r="J32" s="11"/>
      <c r="K32" s="15"/>
      <c r="L32" s="2"/>
      <c r="M32" s="4"/>
      <c r="N32" s="2"/>
      <c r="O32" s="2"/>
      <c r="P32" s="11"/>
      <c r="X32" s="6" t="s">
        <v>269</v>
      </c>
      <c r="Y32" s="7" t="s">
        <v>223</v>
      </c>
      <c r="AA32" s="2" t="s">
        <v>99</v>
      </c>
      <c r="AC32" s="2"/>
      <c r="AD32" s="2"/>
      <c r="AE32" s="2"/>
      <c r="AF32" s="7" t="s">
        <v>223</v>
      </c>
      <c r="AG32" s="7"/>
      <c r="AI32" s="2"/>
      <c r="AR32" s="17"/>
      <c r="AS32" s="17"/>
    </row>
    <row r="33" spans="1:45" ht="16.5" customHeight="1" x14ac:dyDescent="0.3">
      <c r="A33" s="11" t="s">
        <v>131</v>
      </c>
      <c r="B33" s="11">
        <v>5</v>
      </c>
      <c r="C33" s="24">
        <v>276.86040000000003</v>
      </c>
      <c r="D33" s="33">
        <f t="shared" si="0"/>
        <v>5.7896361355081565</v>
      </c>
      <c r="E33" s="30" t="s">
        <v>131</v>
      </c>
      <c r="F33" s="11" t="s">
        <v>131</v>
      </c>
      <c r="G33" s="21" t="s">
        <v>171</v>
      </c>
      <c r="H33" s="21" t="s">
        <v>171</v>
      </c>
      <c r="I33" t="s">
        <v>192</v>
      </c>
      <c r="J33" s="11"/>
      <c r="K33" s="15"/>
      <c r="L33" s="2"/>
      <c r="M33" s="4"/>
      <c r="N33" s="2"/>
      <c r="O33" s="2"/>
      <c r="P33" s="11"/>
      <c r="X33" s="6" t="s">
        <v>270</v>
      </c>
      <c r="Y33" s="7" t="s">
        <v>224</v>
      </c>
      <c r="AA33" s="2" t="s">
        <v>99</v>
      </c>
      <c r="AB33" s="17"/>
      <c r="AC33" s="2"/>
      <c r="AD33" s="2"/>
      <c r="AE33" s="2"/>
      <c r="AF33" s="7" t="s">
        <v>224</v>
      </c>
      <c r="AG33" s="7"/>
      <c r="AI33" s="2"/>
      <c r="AR33" s="17"/>
      <c r="AS33" s="17"/>
    </row>
    <row r="34" spans="1:45" ht="16.5" customHeight="1" x14ac:dyDescent="0.3">
      <c r="A34" s="11" t="s">
        <v>132</v>
      </c>
      <c r="B34" s="11">
        <v>10</v>
      </c>
      <c r="C34" s="24">
        <v>232.39</v>
      </c>
      <c r="D34" s="33">
        <f t="shared" si="0"/>
        <v>4.8596821413634457</v>
      </c>
      <c r="E34" s="11" t="s">
        <v>132</v>
      </c>
      <c r="F34" s="11" t="s">
        <v>132</v>
      </c>
      <c r="G34" s="21" t="s">
        <v>172</v>
      </c>
      <c r="H34" s="21" t="s">
        <v>172</v>
      </c>
      <c r="I34" t="s">
        <v>192</v>
      </c>
      <c r="J34" s="11"/>
      <c r="K34" s="15"/>
      <c r="L34" s="2"/>
      <c r="M34" s="4"/>
      <c r="N34" s="2"/>
      <c r="O34" s="2"/>
      <c r="P34" s="11"/>
      <c r="X34" s="6" t="s">
        <v>271</v>
      </c>
      <c r="Y34" s="7" t="s">
        <v>225</v>
      </c>
      <c r="AA34" s="2" t="s">
        <v>99</v>
      </c>
      <c r="AC34" s="2"/>
      <c r="AD34" s="2"/>
      <c r="AE34" s="2"/>
      <c r="AF34" s="7" t="s">
        <v>225</v>
      </c>
      <c r="AG34" s="7"/>
      <c r="AI34" s="2"/>
      <c r="AR34" s="17"/>
      <c r="AS34" s="17"/>
    </row>
    <row r="35" spans="1:45" ht="16.5" customHeight="1" x14ac:dyDescent="0.3">
      <c r="A35" s="11" t="s">
        <v>133</v>
      </c>
      <c r="B35" s="11">
        <v>2</v>
      </c>
      <c r="C35" s="24">
        <v>660.72719999999993</v>
      </c>
      <c r="D35" s="33">
        <f t="shared" si="0"/>
        <v>13.816963613550813</v>
      </c>
      <c r="E35" s="11" t="s">
        <v>133</v>
      </c>
      <c r="F35" s="11" t="s">
        <v>133</v>
      </c>
      <c r="G35" s="21" t="s">
        <v>173</v>
      </c>
      <c r="H35" s="21" t="s">
        <v>173</v>
      </c>
      <c r="I35" t="s">
        <v>192</v>
      </c>
      <c r="J35" s="11"/>
      <c r="K35" s="15"/>
      <c r="L35" s="2"/>
      <c r="M35" s="4"/>
      <c r="N35" s="2"/>
      <c r="O35" s="2"/>
      <c r="P35" s="11"/>
      <c r="X35" s="6" t="s">
        <v>272</v>
      </c>
      <c r="Y35" s="7" t="s">
        <v>226</v>
      </c>
      <c r="AA35" s="2" t="s">
        <v>99</v>
      </c>
      <c r="AC35" s="2"/>
      <c r="AD35" s="2"/>
      <c r="AE35" s="2"/>
      <c r="AF35" s="7" t="s">
        <v>226</v>
      </c>
      <c r="AG35" s="7"/>
      <c r="AI35" s="2"/>
      <c r="AR35" s="17"/>
      <c r="AS35" s="17"/>
    </row>
    <row r="36" spans="1:45" ht="16.5" customHeight="1" x14ac:dyDescent="0.3">
      <c r="A36" s="11" t="s">
        <v>134</v>
      </c>
      <c r="B36" s="11">
        <v>6</v>
      </c>
      <c r="C36" s="24">
        <v>423.33840000000004</v>
      </c>
      <c r="D36" s="33">
        <f t="shared" si="0"/>
        <v>8.8527478042659986</v>
      </c>
      <c r="E36" s="11" t="s">
        <v>134</v>
      </c>
      <c r="F36" s="11" t="s">
        <v>134</v>
      </c>
      <c r="G36" s="21" t="s">
        <v>174</v>
      </c>
      <c r="H36" s="21" t="s">
        <v>174</v>
      </c>
      <c r="I36" t="s">
        <v>192</v>
      </c>
      <c r="J36" s="11"/>
      <c r="K36" s="15"/>
      <c r="L36" s="2"/>
      <c r="M36" s="4"/>
      <c r="N36" s="2"/>
      <c r="O36" s="2"/>
      <c r="P36" s="11"/>
      <c r="X36" s="6" t="s">
        <v>273</v>
      </c>
      <c r="Y36" s="7" t="s">
        <v>227</v>
      </c>
      <c r="AA36" s="2" t="s">
        <v>99</v>
      </c>
      <c r="AC36" s="2"/>
      <c r="AD36" s="2"/>
      <c r="AE36" s="2"/>
      <c r="AF36" s="7" t="s">
        <v>227</v>
      </c>
      <c r="AG36" s="7"/>
      <c r="AI36" s="2"/>
      <c r="AR36" s="17"/>
      <c r="AS36" s="17"/>
    </row>
    <row r="37" spans="1:45" ht="16.5" customHeight="1" x14ac:dyDescent="0.3">
      <c r="A37" s="11" t="s">
        <v>135</v>
      </c>
      <c r="B37" s="11">
        <v>2</v>
      </c>
      <c r="C37" s="24">
        <v>469.12139999999999</v>
      </c>
      <c r="D37" s="33">
        <f t="shared" si="0"/>
        <v>9.8101505646173148</v>
      </c>
      <c r="E37" s="11" t="s">
        <v>135</v>
      </c>
      <c r="F37" s="11" t="s">
        <v>135</v>
      </c>
      <c r="G37" s="21" t="s">
        <v>175</v>
      </c>
      <c r="H37" s="21" t="s">
        <v>175</v>
      </c>
      <c r="I37" t="s">
        <v>192</v>
      </c>
      <c r="J37" s="11"/>
      <c r="K37" s="15"/>
      <c r="L37" s="2"/>
      <c r="M37" s="4"/>
      <c r="N37" s="2"/>
      <c r="O37" s="2"/>
      <c r="P37" s="11"/>
      <c r="X37" s="6" t="s">
        <v>274</v>
      </c>
      <c r="Y37" s="7" t="s">
        <v>228</v>
      </c>
      <c r="AA37" s="2" t="s">
        <v>99</v>
      </c>
      <c r="AB37" s="17"/>
      <c r="AC37" s="2"/>
      <c r="AD37" s="2"/>
      <c r="AE37" s="2"/>
      <c r="AF37" s="7" t="s">
        <v>228</v>
      </c>
      <c r="AG37" s="7"/>
      <c r="AI37" s="2"/>
      <c r="AR37" s="17"/>
      <c r="AS37" s="17"/>
    </row>
    <row r="38" spans="1:45" ht="16.5" customHeight="1" x14ac:dyDescent="0.3">
      <c r="A38" s="11" t="s">
        <v>136</v>
      </c>
      <c r="B38" s="11">
        <v>10</v>
      </c>
      <c r="C38" s="24">
        <v>148.50971999999999</v>
      </c>
      <c r="D38" s="33">
        <f t="shared" si="0"/>
        <v>3.1055984943538264</v>
      </c>
      <c r="E38" s="11" t="s">
        <v>136</v>
      </c>
      <c r="F38" s="11" t="s">
        <v>136</v>
      </c>
      <c r="G38" s="21" t="s">
        <v>176</v>
      </c>
      <c r="H38" s="21" t="s">
        <v>176</v>
      </c>
      <c r="I38" t="s">
        <v>192</v>
      </c>
      <c r="J38" s="11"/>
      <c r="K38" s="15"/>
      <c r="L38" s="2"/>
      <c r="M38" s="4"/>
      <c r="N38" s="2"/>
      <c r="O38" s="2"/>
      <c r="P38" s="11"/>
      <c r="X38" s="6" t="s">
        <v>275</v>
      </c>
      <c r="Y38" s="7" t="s">
        <v>229</v>
      </c>
      <c r="AA38" s="2" t="s">
        <v>99</v>
      </c>
      <c r="AC38" s="2"/>
      <c r="AD38" s="2"/>
      <c r="AE38" s="2"/>
      <c r="AF38" s="7" t="s">
        <v>229</v>
      </c>
      <c r="AG38" s="7"/>
      <c r="AI38" s="2"/>
      <c r="AR38" s="17"/>
      <c r="AS38" s="17"/>
    </row>
    <row r="39" spans="1:45" ht="16.5" customHeight="1" x14ac:dyDescent="0.3">
      <c r="A39" s="11" t="s">
        <v>137</v>
      </c>
      <c r="B39" s="11">
        <v>6</v>
      </c>
      <c r="C39" s="24">
        <v>335.65728000000001</v>
      </c>
      <c r="D39" s="33">
        <f t="shared" si="0"/>
        <v>7.0191819322459228</v>
      </c>
      <c r="E39" s="11" t="s">
        <v>137</v>
      </c>
      <c r="F39" s="11" t="s">
        <v>137</v>
      </c>
      <c r="G39" s="21" t="s">
        <v>177</v>
      </c>
      <c r="H39" s="21" t="s">
        <v>177</v>
      </c>
      <c r="I39" t="s">
        <v>192</v>
      </c>
      <c r="J39" s="11"/>
      <c r="K39" s="15"/>
      <c r="L39" s="2"/>
      <c r="M39" s="4"/>
      <c r="N39" s="2"/>
      <c r="O39" s="2"/>
      <c r="P39" s="11"/>
      <c r="X39" s="6" t="s">
        <v>276</v>
      </c>
      <c r="Y39" s="7" t="s">
        <v>230</v>
      </c>
      <c r="AA39" s="2" t="s">
        <v>99</v>
      </c>
      <c r="AC39" s="2"/>
      <c r="AD39" s="2"/>
      <c r="AE39" s="2"/>
      <c r="AF39" s="7" t="s">
        <v>230</v>
      </c>
      <c r="AG39" s="7"/>
      <c r="AI39" s="2"/>
      <c r="AR39" s="17"/>
      <c r="AS39" s="17"/>
    </row>
    <row r="40" spans="1:45" ht="16.5" customHeight="1" x14ac:dyDescent="0.3">
      <c r="A40" s="11" t="s">
        <v>138</v>
      </c>
      <c r="B40" s="11">
        <v>6</v>
      </c>
      <c r="C40" s="24">
        <v>456.87216000000001</v>
      </c>
      <c r="D40" s="33">
        <f t="shared" si="0"/>
        <v>9.5539974905897118</v>
      </c>
      <c r="E40" s="11" t="s">
        <v>138</v>
      </c>
      <c r="F40" s="11" t="s">
        <v>138</v>
      </c>
      <c r="G40" s="21" t="s">
        <v>178</v>
      </c>
      <c r="H40" s="21" t="s">
        <v>178</v>
      </c>
      <c r="I40" t="s">
        <v>192</v>
      </c>
      <c r="J40" s="11"/>
      <c r="K40" s="15"/>
      <c r="L40" s="2"/>
      <c r="M40" s="4"/>
      <c r="N40" s="2"/>
      <c r="O40" s="2"/>
      <c r="P40" s="11"/>
      <c r="X40" s="6" t="s">
        <v>277</v>
      </c>
      <c r="Y40" s="7" t="s">
        <v>231</v>
      </c>
      <c r="AA40" s="2" t="s">
        <v>99</v>
      </c>
      <c r="AC40" s="2"/>
      <c r="AD40" s="2"/>
      <c r="AE40" s="2"/>
      <c r="AF40" s="7" t="s">
        <v>231</v>
      </c>
      <c r="AG40" s="7"/>
      <c r="AI40" s="2"/>
      <c r="AR40" s="17"/>
      <c r="AS40" s="17"/>
    </row>
    <row r="41" spans="1:45" ht="16.5" customHeight="1" x14ac:dyDescent="0.3">
      <c r="A41" s="11" t="s">
        <v>139</v>
      </c>
      <c r="B41" s="11">
        <v>10</v>
      </c>
      <c r="C41" s="24">
        <v>231.08675999999997</v>
      </c>
      <c r="D41" s="33">
        <f t="shared" si="0"/>
        <v>4.8324291091593468</v>
      </c>
      <c r="E41" s="11" t="s">
        <v>139</v>
      </c>
      <c r="F41" s="11" t="s">
        <v>139</v>
      </c>
      <c r="G41" s="21" t="s">
        <v>179</v>
      </c>
      <c r="H41" s="21" t="s">
        <v>179</v>
      </c>
      <c r="I41" t="s">
        <v>192</v>
      </c>
      <c r="J41" s="11"/>
      <c r="K41" s="15"/>
      <c r="L41" s="2"/>
      <c r="M41" s="4"/>
      <c r="N41" s="2"/>
      <c r="O41" s="2"/>
      <c r="P41" s="11"/>
      <c r="X41" s="6" t="s">
        <v>278</v>
      </c>
      <c r="Y41" s="7" t="s">
        <v>232</v>
      </c>
      <c r="AA41" s="2" t="s">
        <v>99</v>
      </c>
      <c r="AC41" s="2"/>
      <c r="AD41" s="2"/>
      <c r="AE41" s="2"/>
      <c r="AF41" s="7" t="s">
        <v>232</v>
      </c>
      <c r="AG41" s="7"/>
      <c r="AI41" s="2"/>
      <c r="AR41" s="17"/>
      <c r="AS41" s="17"/>
    </row>
    <row r="42" spans="1:45" ht="16.5" customHeight="1" x14ac:dyDescent="0.3">
      <c r="A42" s="11" t="s">
        <v>140</v>
      </c>
      <c r="B42" s="11">
        <v>7</v>
      </c>
      <c r="C42" s="24">
        <v>88.883999999999986</v>
      </c>
      <c r="D42" s="33">
        <f t="shared" si="0"/>
        <v>1.8587202007528227</v>
      </c>
      <c r="E42" s="11" t="s">
        <v>140</v>
      </c>
      <c r="F42" s="11" t="s">
        <v>140</v>
      </c>
      <c r="G42" s="21" t="s">
        <v>180</v>
      </c>
      <c r="H42" s="21" t="s">
        <v>180</v>
      </c>
      <c r="I42" t="s">
        <v>192</v>
      </c>
      <c r="J42" s="11"/>
      <c r="K42" s="15"/>
      <c r="L42" s="2"/>
      <c r="M42" s="4"/>
      <c r="N42" s="2"/>
      <c r="O42" s="2"/>
      <c r="P42" s="11"/>
      <c r="X42" s="6" t="s">
        <v>279</v>
      </c>
      <c r="Y42" s="7" t="s">
        <v>233</v>
      </c>
      <c r="AA42" s="2" t="s">
        <v>99</v>
      </c>
      <c r="AB42" s="17"/>
      <c r="AC42" s="2"/>
      <c r="AD42" s="2"/>
      <c r="AE42" s="2"/>
      <c r="AF42" s="7" t="s">
        <v>233</v>
      </c>
      <c r="AG42" s="7"/>
      <c r="AI42" s="2"/>
      <c r="AR42" s="17"/>
      <c r="AS42" s="17"/>
    </row>
    <row r="43" spans="1:45" ht="16.5" customHeight="1" x14ac:dyDescent="0.3">
      <c r="A43" s="11" t="s">
        <v>141</v>
      </c>
      <c r="B43" s="11">
        <v>8</v>
      </c>
      <c r="C43" s="24">
        <v>212.12604000000002</v>
      </c>
      <c r="D43" s="33">
        <f t="shared" si="0"/>
        <v>4.4359272271016312</v>
      </c>
      <c r="E43" s="11" t="s">
        <v>141</v>
      </c>
      <c r="F43" s="11" t="s">
        <v>141</v>
      </c>
      <c r="G43" s="21" t="s">
        <v>181</v>
      </c>
      <c r="H43" s="21" t="s">
        <v>181</v>
      </c>
      <c r="I43" t="s">
        <v>192</v>
      </c>
      <c r="J43" s="11"/>
      <c r="K43" s="15"/>
      <c r="L43" s="2"/>
      <c r="M43" s="4"/>
      <c r="N43" s="2"/>
      <c r="O43" s="2"/>
      <c r="P43" s="11"/>
      <c r="X43" s="6" t="s">
        <v>280</v>
      </c>
      <c r="Y43" s="7" t="s">
        <v>234</v>
      </c>
      <c r="AA43" s="2" t="s">
        <v>99</v>
      </c>
      <c r="AC43" s="2"/>
      <c r="AD43" s="2"/>
      <c r="AE43" s="2"/>
      <c r="AF43" s="7" t="s">
        <v>234</v>
      </c>
      <c r="AG43" s="7"/>
      <c r="AI43" s="2"/>
      <c r="AR43" s="17"/>
      <c r="AS43" s="17"/>
    </row>
    <row r="44" spans="1:45" ht="16.5" customHeight="1" x14ac:dyDescent="0.3">
      <c r="A44" s="11" t="s">
        <v>142</v>
      </c>
      <c r="B44" s="11">
        <v>5</v>
      </c>
      <c r="C44" s="24">
        <v>675.78012000000001</v>
      </c>
      <c r="D44" s="33">
        <f t="shared" si="0"/>
        <v>14.131746549560853</v>
      </c>
      <c r="E44" s="11" t="s">
        <v>142</v>
      </c>
      <c r="F44" s="11" t="s">
        <v>142</v>
      </c>
      <c r="G44" s="21" t="s">
        <v>189</v>
      </c>
      <c r="H44" s="21" t="s">
        <v>189</v>
      </c>
      <c r="I44" t="s">
        <v>192</v>
      </c>
      <c r="J44" s="11"/>
      <c r="K44" s="15"/>
      <c r="L44" s="2"/>
      <c r="M44" s="4"/>
      <c r="N44" s="2"/>
      <c r="O44" s="2"/>
      <c r="P44" s="11"/>
      <c r="X44" s="6" t="s">
        <v>281</v>
      </c>
      <c r="Y44" s="7" t="s">
        <v>235</v>
      </c>
      <c r="AA44" s="2" t="s">
        <v>99</v>
      </c>
      <c r="AC44" s="2"/>
      <c r="AD44" s="2"/>
      <c r="AE44" s="2"/>
      <c r="AF44" s="7" t="s">
        <v>235</v>
      </c>
      <c r="AG44" s="7"/>
      <c r="AI44" s="2"/>
      <c r="AR44" s="17"/>
      <c r="AS44" s="17"/>
    </row>
    <row r="45" spans="1:45" ht="16.5" customHeight="1" x14ac:dyDescent="0.3">
      <c r="A45" s="11" t="s">
        <v>143</v>
      </c>
      <c r="B45" s="11">
        <v>5</v>
      </c>
      <c r="C45" s="24">
        <v>612.13991999999996</v>
      </c>
      <c r="D45" s="33">
        <f t="shared" si="0"/>
        <v>12.800918444165621</v>
      </c>
      <c r="E45" s="11" t="s">
        <v>143</v>
      </c>
      <c r="F45" s="11" t="s">
        <v>143</v>
      </c>
      <c r="G45" s="21" t="s">
        <v>182</v>
      </c>
      <c r="H45" s="21" t="s">
        <v>182</v>
      </c>
      <c r="I45" t="s">
        <v>192</v>
      </c>
      <c r="J45" s="11"/>
      <c r="K45" s="15"/>
      <c r="L45" s="2"/>
      <c r="M45" s="4"/>
      <c r="N45" s="2"/>
      <c r="O45" s="2"/>
      <c r="P45" s="11"/>
      <c r="X45" s="6" t="s">
        <v>282</v>
      </c>
      <c r="Y45" s="7" t="s">
        <v>236</v>
      </c>
      <c r="AA45" s="2" t="s">
        <v>99</v>
      </c>
      <c r="AC45" s="2"/>
      <c r="AD45" s="2"/>
      <c r="AE45" s="2"/>
      <c r="AF45" s="7" t="s">
        <v>236</v>
      </c>
      <c r="AG45" s="7"/>
      <c r="AI45" s="2"/>
      <c r="AR45" s="17"/>
      <c r="AS45" s="17"/>
    </row>
    <row r="46" spans="1:45" ht="16.5" customHeight="1" x14ac:dyDescent="0.3">
      <c r="A46" s="11" t="s">
        <v>144</v>
      </c>
      <c r="B46" s="11">
        <v>10</v>
      </c>
      <c r="C46" s="24">
        <v>147.17243999999999</v>
      </c>
      <c r="D46" s="33">
        <f t="shared" si="0"/>
        <v>3.0776336260978669</v>
      </c>
      <c r="E46" s="11" t="s">
        <v>144</v>
      </c>
      <c r="F46" s="11" t="s">
        <v>144</v>
      </c>
      <c r="G46" s="21" t="s">
        <v>191</v>
      </c>
      <c r="H46" s="21" t="s">
        <v>191</v>
      </c>
      <c r="I46" t="s">
        <v>192</v>
      </c>
      <c r="J46" s="11"/>
      <c r="K46" s="15"/>
      <c r="L46" s="2"/>
      <c r="M46" s="4"/>
      <c r="N46" s="2"/>
      <c r="O46" s="2"/>
      <c r="P46" s="11"/>
      <c r="X46" s="6" t="s">
        <v>283</v>
      </c>
      <c r="Y46" s="7" t="s">
        <v>237</v>
      </c>
      <c r="AA46" s="2" t="s">
        <v>99</v>
      </c>
      <c r="AB46" s="17"/>
      <c r="AC46" s="2"/>
      <c r="AD46" s="2"/>
      <c r="AE46" s="2"/>
      <c r="AF46" s="7" t="s">
        <v>237</v>
      </c>
      <c r="AG46" s="7"/>
      <c r="AI46" s="2"/>
      <c r="AR46" s="17"/>
      <c r="AS46" s="17"/>
    </row>
    <row r="47" spans="1:45" ht="16.5" customHeight="1" x14ac:dyDescent="0.3">
      <c r="A47" s="11" t="s">
        <v>145</v>
      </c>
      <c r="B47" s="11">
        <v>10</v>
      </c>
      <c r="C47" s="24">
        <v>251.64360000000002</v>
      </c>
      <c r="D47" s="33">
        <f t="shared" si="0"/>
        <v>5.2623086574654963</v>
      </c>
      <c r="E47" s="11" t="s">
        <v>145</v>
      </c>
      <c r="F47" s="11" t="s">
        <v>145</v>
      </c>
      <c r="G47" s="21" t="s">
        <v>190</v>
      </c>
      <c r="H47" s="21" t="s">
        <v>190</v>
      </c>
      <c r="I47" t="s">
        <v>192</v>
      </c>
      <c r="J47" s="14"/>
      <c r="K47" s="15"/>
      <c r="L47" s="2"/>
      <c r="M47" s="4"/>
      <c r="N47" s="2"/>
      <c r="O47" s="2"/>
      <c r="P47" s="11"/>
      <c r="X47" s="6" t="s">
        <v>284</v>
      </c>
      <c r="Y47" s="7" t="s">
        <v>238</v>
      </c>
      <c r="AA47" s="2" t="s">
        <v>99</v>
      </c>
      <c r="AC47" s="2"/>
      <c r="AD47" s="2"/>
      <c r="AE47" s="2"/>
      <c r="AF47" s="7" t="s">
        <v>238</v>
      </c>
      <c r="AG47" s="7"/>
      <c r="AI47" s="2"/>
      <c r="AR47" s="17"/>
      <c r="AS47" s="17"/>
    </row>
    <row r="48" spans="1:45" ht="16.5" customHeight="1" x14ac:dyDescent="0.3">
      <c r="A48" s="11"/>
      <c r="B48" s="11"/>
      <c r="C48" s="25"/>
      <c r="D48" s="33"/>
      <c r="E48" s="11"/>
      <c r="F48" s="11"/>
      <c r="G48" s="22"/>
      <c r="H48" s="13"/>
      <c r="J48" s="11"/>
      <c r="K48" s="15"/>
      <c r="L48" s="2"/>
      <c r="M48" s="4"/>
      <c r="N48" s="2"/>
      <c r="O48" s="2"/>
      <c r="P48" s="11"/>
      <c r="Y48" s="7"/>
      <c r="AA48" s="2"/>
      <c r="AC48" s="2"/>
      <c r="AD48" s="2"/>
      <c r="AE48" s="2"/>
      <c r="AF48" s="7"/>
      <c r="AG48" s="7"/>
      <c r="AI48" s="2"/>
      <c r="AR48" s="17"/>
      <c r="AS48" s="17"/>
    </row>
    <row r="49" spans="1:45" ht="16.5" customHeight="1" x14ac:dyDescent="0.3">
      <c r="A49" s="11"/>
      <c r="B49" s="11"/>
      <c r="C49" s="25"/>
      <c r="D49" s="33"/>
      <c r="E49" s="11"/>
      <c r="F49" s="11"/>
      <c r="G49" s="22"/>
      <c r="H49" s="13"/>
      <c r="J49" s="11"/>
      <c r="K49" s="15"/>
      <c r="L49" s="2"/>
      <c r="M49" s="4"/>
      <c r="N49" s="2"/>
      <c r="O49" s="2"/>
      <c r="P49" s="11"/>
      <c r="Y49" s="7"/>
      <c r="AA49" s="2"/>
      <c r="AC49" s="2"/>
      <c r="AD49" s="2"/>
      <c r="AE49" s="2"/>
      <c r="AF49" s="7"/>
      <c r="AG49" s="7"/>
      <c r="AI49" s="2"/>
      <c r="AR49" s="17"/>
      <c r="AS49" s="17"/>
    </row>
    <row r="50" spans="1:45" ht="16.5" customHeight="1" x14ac:dyDescent="0.3">
      <c r="A50" s="11"/>
      <c r="B50" s="11"/>
      <c r="C50" s="25"/>
      <c r="D50" s="33"/>
      <c r="E50" s="11"/>
      <c r="F50" s="11"/>
      <c r="G50" s="22"/>
      <c r="H50" s="13"/>
      <c r="J50" s="11"/>
      <c r="K50" s="15"/>
      <c r="L50" s="2"/>
      <c r="M50" s="4"/>
      <c r="N50" s="2"/>
      <c r="O50" s="2"/>
      <c r="P50" s="11"/>
      <c r="Y50" s="7"/>
      <c r="AA50" s="2"/>
      <c r="AC50" s="2"/>
      <c r="AD50" s="2"/>
      <c r="AE50" s="2"/>
      <c r="AF50" s="7"/>
      <c r="AG50" s="7"/>
      <c r="AI50" s="2"/>
      <c r="AR50" s="17"/>
      <c r="AS50" s="17"/>
    </row>
    <row r="51" spans="1:45" ht="16.5" customHeight="1" x14ac:dyDescent="0.3">
      <c r="A51" s="11"/>
      <c r="B51" s="11"/>
      <c r="C51" s="25"/>
      <c r="D51" s="33"/>
      <c r="E51" s="11"/>
      <c r="F51" s="11"/>
      <c r="G51" s="22"/>
      <c r="H51" s="13"/>
      <c r="J51" s="11"/>
      <c r="K51" s="15"/>
      <c r="L51" s="2"/>
      <c r="M51" s="4"/>
      <c r="N51" s="2"/>
      <c r="O51" s="2"/>
      <c r="P51" s="11"/>
      <c r="Y51" s="7"/>
      <c r="AA51" s="2"/>
      <c r="AC51" s="2"/>
      <c r="AD51" s="2"/>
      <c r="AE51" s="2"/>
      <c r="AF51" s="7"/>
      <c r="AG51" s="7"/>
      <c r="AI51" s="2"/>
      <c r="AR51" s="17"/>
      <c r="AS51" s="17"/>
    </row>
    <row r="52" spans="1:45" ht="16.5" customHeight="1" x14ac:dyDescent="0.3">
      <c r="A52" s="11"/>
      <c r="B52" s="11"/>
      <c r="C52" s="25"/>
      <c r="D52" s="33"/>
      <c r="E52" s="11"/>
      <c r="F52" s="11"/>
      <c r="G52" s="22"/>
      <c r="H52" s="13"/>
      <c r="J52" s="11"/>
      <c r="K52" s="15"/>
      <c r="L52" s="2"/>
      <c r="M52" s="4"/>
      <c r="N52" s="2"/>
      <c r="O52" s="2"/>
      <c r="P52" s="11"/>
      <c r="Y52" s="7"/>
      <c r="AA52" s="2"/>
      <c r="AC52" s="2"/>
      <c r="AD52" s="2"/>
      <c r="AE52" s="2"/>
      <c r="AF52" s="7"/>
      <c r="AG52" s="7"/>
      <c r="AI52" s="2"/>
      <c r="AR52" s="17"/>
      <c r="AS52" s="17"/>
    </row>
    <row r="53" spans="1:45" ht="16.5" customHeight="1" x14ac:dyDescent="0.3">
      <c r="A53" s="11"/>
      <c r="B53" s="11"/>
      <c r="C53" s="25"/>
      <c r="D53" s="33"/>
      <c r="E53" s="11"/>
      <c r="F53" s="11"/>
      <c r="G53" s="22"/>
      <c r="H53" s="13"/>
      <c r="J53" s="11"/>
      <c r="K53" s="15"/>
      <c r="L53" s="2"/>
      <c r="M53" s="4"/>
      <c r="N53" s="2"/>
      <c r="O53" s="2"/>
      <c r="P53" s="11"/>
      <c r="Y53" s="7"/>
      <c r="AA53" s="2"/>
      <c r="AB53" s="17"/>
      <c r="AC53" s="2"/>
      <c r="AD53" s="2"/>
      <c r="AE53" s="2"/>
      <c r="AF53" s="7"/>
      <c r="AG53" s="7"/>
      <c r="AI53" s="2"/>
      <c r="AR53" s="17"/>
      <c r="AS53" s="17"/>
    </row>
    <row r="54" spans="1:45" ht="16.5" customHeight="1" x14ac:dyDescent="0.3">
      <c r="A54" s="11"/>
      <c r="B54" s="11"/>
      <c r="C54" s="25"/>
      <c r="D54" s="33"/>
      <c r="E54" s="11"/>
      <c r="F54" s="11"/>
      <c r="G54" s="22"/>
      <c r="H54" s="13"/>
      <c r="J54" s="11"/>
      <c r="K54" s="16"/>
      <c r="L54" s="2"/>
      <c r="M54" s="4"/>
      <c r="N54" s="2"/>
      <c r="O54" s="2"/>
      <c r="P54" s="11"/>
      <c r="Y54" s="7"/>
      <c r="AA54" s="2"/>
      <c r="AC54" s="2"/>
      <c r="AD54" s="2"/>
      <c r="AE54" s="2"/>
      <c r="AF54" s="7"/>
      <c r="AG54" s="7"/>
      <c r="AI54" s="2"/>
      <c r="AR54" s="17"/>
      <c r="AS54" s="17"/>
    </row>
    <row r="55" spans="1:45" ht="16.5" customHeight="1" x14ac:dyDescent="0.3">
      <c r="A55" s="11"/>
      <c r="B55" s="11"/>
      <c r="C55" s="25"/>
      <c r="D55" s="33"/>
      <c r="E55" s="11"/>
      <c r="F55" s="11"/>
      <c r="G55" s="22"/>
      <c r="H55" s="13"/>
      <c r="J55" s="11"/>
      <c r="K55" s="15"/>
      <c r="L55" s="2"/>
      <c r="M55" s="4"/>
      <c r="N55" s="2"/>
      <c r="O55" s="2"/>
      <c r="P55" s="11"/>
      <c r="Y55" s="7"/>
      <c r="AA55" s="2"/>
      <c r="AC55" s="2"/>
      <c r="AD55" s="2"/>
      <c r="AE55" s="2"/>
      <c r="AF55" s="7"/>
      <c r="AG55" s="7"/>
      <c r="AI55" s="2"/>
      <c r="AR55" s="17"/>
      <c r="AS55" s="17"/>
    </row>
    <row r="56" spans="1:45" ht="16.5" customHeight="1" x14ac:dyDescent="0.3">
      <c r="A56" s="11"/>
      <c r="B56" s="11"/>
      <c r="C56" s="25"/>
      <c r="D56" s="33"/>
      <c r="E56" s="11"/>
      <c r="F56" s="11"/>
      <c r="G56" s="22"/>
      <c r="H56" s="13"/>
      <c r="J56" s="11"/>
      <c r="K56" s="15"/>
      <c r="L56" s="2"/>
      <c r="M56" s="4"/>
      <c r="N56" s="2"/>
      <c r="O56" s="2"/>
      <c r="P56" s="11"/>
      <c r="Y56" s="7"/>
      <c r="AA56" s="2"/>
      <c r="AC56" s="2"/>
      <c r="AD56" s="2"/>
      <c r="AE56" s="2"/>
      <c r="AF56" s="7"/>
      <c r="AG56" s="7"/>
      <c r="AI56" s="2"/>
      <c r="AR56" s="17"/>
      <c r="AS56" s="17"/>
    </row>
    <row r="57" spans="1:45" ht="16.5" customHeight="1" x14ac:dyDescent="0.3">
      <c r="A57" s="11"/>
      <c r="B57" s="11"/>
      <c r="C57" s="25"/>
      <c r="D57" s="33"/>
      <c r="E57" s="11"/>
      <c r="F57" s="11"/>
      <c r="G57" s="22"/>
      <c r="H57" s="13"/>
      <c r="J57" s="11"/>
      <c r="K57" s="15"/>
      <c r="L57" s="2"/>
      <c r="M57" s="4"/>
      <c r="N57" s="2"/>
      <c r="O57" s="2"/>
      <c r="P57" s="11"/>
      <c r="Y57" s="7"/>
      <c r="AA57" s="2"/>
      <c r="AC57" s="2"/>
      <c r="AD57" s="2"/>
      <c r="AE57" s="2"/>
      <c r="AF57" s="7"/>
      <c r="AG57" s="7"/>
      <c r="AI57" s="2"/>
      <c r="AR57" s="17"/>
      <c r="AS57" s="17"/>
    </row>
    <row r="58" spans="1:45" ht="16.5" customHeight="1" x14ac:dyDescent="0.3">
      <c r="A58" s="11"/>
      <c r="B58" s="11"/>
      <c r="C58" s="25"/>
      <c r="D58" s="33"/>
      <c r="E58" s="11"/>
      <c r="F58" s="11"/>
      <c r="G58" s="22"/>
      <c r="H58" s="13"/>
      <c r="J58" s="11"/>
      <c r="K58" s="15"/>
      <c r="L58" s="2"/>
      <c r="M58" s="4"/>
      <c r="N58" s="2"/>
      <c r="O58" s="2"/>
      <c r="P58" s="11"/>
      <c r="Y58" s="7"/>
      <c r="AA58" s="2"/>
      <c r="AB58" s="17"/>
      <c r="AC58" s="2"/>
      <c r="AD58" s="2"/>
      <c r="AE58" s="2"/>
      <c r="AF58" s="7"/>
      <c r="AG58" s="7"/>
      <c r="AI58" s="2"/>
      <c r="AR58" s="17"/>
      <c r="AS58" s="17"/>
    </row>
    <row r="59" spans="1:45" ht="16.5" customHeight="1" x14ac:dyDescent="0.3">
      <c r="A59" s="11"/>
      <c r="B59" s="11"/>
      <c r="C59" s="25"/>
      <c r="D59" s="33"/>
      <c r="E59" s="11"/>
      <c r="F59" s="11"/>
      <c r="G59" s="22"/>
      <c r="H59" s="13"/>
      <c r="J59" s="11"/>
      <c r="K59" s="15"/>
      <c r="L59" s="2"/>
      <c r="M59" s="4"/>
      <c r="N59" s="2"/>
      <c r="O59" s="2"/>
      <c r="P59" s="11"/>
      <c r="Y59" s="7"/>
      <c r="AA59" s="2"/>
      <c r="AC59" s="2"/>
      <c r="AD59" s="2"/>
      <c r="AE59" s="2"/>
      <c r="AF59" s="7"/>
      <c r="AG59" s="7"/>
      <c r="AI59" s="2"/>
      <c r="AR59" s="17"/>
      <c r="AS59" s="17"/>
    </row>
    <row r="60" spans="1:45" ht="16.5" customHeight="1" x14ac:dyDescent="0.3">
      <c r="A60" s="11"/>
      <c r="B60" s="11"/>
      <c r="C60" s="25"/>
      <c r="D60" s="33"/>
      <c r="E60" s="11"/>
      <c r="F60" s="11"/>
      <c r="G60" s="22"/>
      <c r="H60" s="13"/>
      <c r="J60" s="11"/>
      <c r="K60" s="15"/>
      <c r="L60" s="2"/>
      <c r="M60" s="4"/>
      <c r="N60" s="2"/>
      <c r="O60" s="2"/>
      <c r="P60" s="11"/>
      <c r="Y60" s="7"/>
      <c r="AA60" s="2"/>
      <c r="AC60" s="2"/>
      <c r="AD60" s="2"/>
      <c r="AE60" s="2"/>
      <c r="AF60" s="7"/>
      <c r="AG60" s="7"/>
      <c r="AI60" s="2"/>
      <c r="AR60" s="17"/>
      <c r="AS60" s="17"/>
    </row>
    <row r="61" spans="1:45" ht="16.5" customHeight="1" x14ac:dyDescent="0.3">
      <c r="A61" s="11"/>
      <c r="B61" s="11"/>
      <c r="C61" s="25"/>
      <c r="D61" s="33"/>
      <c r="E61" s="11"/>
      <c r="F61" s="11"/>
      <c r="G61" s="22"/>
      <c r="H61" s="13"/>
      <c r="J61" s="11"/>
      <c r="K61" s="15"/>
      <c r="L61" s="2"/>
      <c r="M61" s="4"/>
      <c r="N61" s="2"/>
      <c r="O61" s="2"/>
      <c r="P61" s="11"/>
      <c r="Y61" s="7"/>
      <c r="AA61" s="2"/>
      <c r="AC61" s="2"/>
      <c r="AD61" s="2"/>
      <c r="AE61" s="2"/>
      <c r="AF61" s="7"/>
      <c r="AG61" s="7"/>
      <c r="AI61" s="2"/>
      <c r="AR61" s="17"/>
      <c r="AS61" s="17"/>
    </row>
    <row r="62" spans="1:45" ht="16.5" customHeight="1" x14ac:dyDescent="0.3">
      <c r="A62" s="11"/>
      <c r="B62" s="11"/>
      <c r="C62" s="25"/>
      <c r="D62" s="33"/>
      <c r="E62" s="11"/>
      <c r="F62" s="11"/>
      <c r="G62" s="22"/>
      <c r="H62" s="13"/>
      <c r="J62" s="11"/>
      <c r="K62" s="15"/>
      <c r="L62" s="2"/>
      <c r="M62" s="4"/>
      <c r="N62" s="2"/>
      <c r="O62" s="2"/>
      <c r="P62" s="11"/>
      <c r="Y62" s="7"/>
      <c r="AA62" s="2"/>
      <c r="AC62" s="2"/>
      <c r="AD62" s="2"/>
      <c r="AE62" s="2"/>
      <c r="AF62" s="7"/>
      <c r="AG62" s="7"/>
      <c r="AI62" s="2"/>
      <c r="AR62" s="17"/>
      <c r="AS62" s="17"/>
    </row>
    <row r="63" spans="1:45" ht="16.5" customHeight="1" x14ac:dyDescent="0.3">
      <c r="A63" s="11"/>
      <c r="B63" s="11"/>
      <c r="C63" s="25"/>
      <c r="D63" s="33"/>
      <c r="E63" s="11"/>
      <c r="F63" s="11"/>
      <c r="G63" s="22"/>
      <c r="H63" s="13"/>
      <c r="J63" s="11"/>
      <c r="K63" s="15"/>
      <c r="L63" s="2"/>
      <c r="M63" s="4"/>
      <c r="N63" s="2"/>
      <c r="O63" s="2"/>
      <c r="P63" s="11"/>
      <c r="Y63" s="7"/>
      <c r="AA63" s="2"/>
      <c r="AC63" s="2"/>
      <c r="AD63" s="2"/>
      <c r="AE63" s="2"/>
      <c r="AF63" s="7"/>
      <c r="AG63" s="7"/>
      <c r="AI63" s="2"/>
      <c r="AR63" s="17"/>
      <c r="AS63" s="17"/>
    </row>
    <row r="64" spans="1:45" ht="16.5" customHeight="1" x14ac:dyDescent="0.3">
      <c r="A64" s="11"/>
      <c r="B64" s="11"/>
      <c r="C64" s="25"/>
      <c r="D64" s="33"/>
      <c r="E64" s="11"/>
      <c r="F64" s="11"/>
      <c r="G64" s="22"/>
      <c r="H64" s="13"/>
      <c r="J64" s="11"/>
      <c r="K64" s="15"/>
      <c r="L64" s="2"/>
      <c r="M64" s="4"/>
      <c r="N64" s="2"/>
      <c r="O64" s="2"/>
      <c r="P64" s="11"/>
      <c r="Y64" s="7"/>
      <c r="AA64" s="2"/>
      <c r="AC64" s="2"/>
      <c r="AD64" s="2"/>
      <c r="AE64" s="2"/>
      <c r="AF64" s="7"/>
      <c r="AG64" s="7"/>
      <c r="AI64" s="2"/>
      <c r="AR64" s="17"/>
      <c r="AS64" s="17"/>
    </row>
    <row r="65" spans="1:45" ht="16.5" customHeight="1" x14ac:dyDescent="0.3">
      <c r="A65" s="11"/>
      <c r="B65" s="11"/>
      <c r="C65" s="25"/>
      <c r="D65" s="33"/>
      <c r="E65" s="11"/>
      <c r="F65" s="11"/>
      <c r="G65" s="22"/>
      <c r="H65" s="13"/>
      <c r="J65" s="11"/>
      <c r="K65" s="15"/>
      <c r="L65" s="2"/>
      <c r="M65" s="4"/>
      <c r="N65" s="2"/>
      <c r="O65" s="2"/>
      <c r="P65" s="11"/>
      <c r="Y65" s="7"/>
      <c r="AA65" s="2"/>
      <c r="AC65" s="2"/>
      <c r="AD65" s="2"/>
      <c r="AE65" s="2"/>
      <c r="AF65" s="7"/>
      <c r="AG65" s="7"/>
      <c r="AI65" s="2"/>
      <c r="AR65" s="17"/>
      <c r="AS65" s="17"/>
    </row>
    <row r="66" spans="1:45" ht="16.5" customHeight="1" x14ac:dyDescent="0.3">
      <c r="A66" s="11"/>
      <c r="B66" s="11"/>
      <c r="C66" s="25"/>
      <c r="D66" s="33"/>
      <c r="E66" s="11"/>
      <c r="F66" s="11"/>
      <c r="G66" s="22"/>
      <c r="H66" s="13"/>
      <c r="J66" s="11"/>
      <c r="K66" s="15"/>
      <c r="L66" s="2"/>
      <c r="M66" s="4"/>
      <c r="N66" s="2"/>
      <c r="O66" s="2"/>
      <c r="P66" s="11"/>
      <c r="Y66" s="7"/>
      <c r="AA66" s="2"/>
      <c r="AC66" s="2"/>
      <c r="AD66" s="2"/>
      <c r="AE66" s="2"/>
      <c r="AF66" s="7"/>
      <c r="AG66" s="7"/>
      <c r="AI66" s="2"/>
      <c r="AR66" s="17"/>
      <c r="AS66" s="17"/>
    </row>
    <row r="67" spans="1:45" ht="16.5" customHeight="1" x14ac:dyDescent="0.3">
      <c r="A67" s="11"/>
      <c r="B67" s="11"/>
      <c r="C67" s="25"/>
      <c r="D67" s="33"/>
      <c r="E67" s="11"/>
      <c r="F67" s="11"/>
      <c r="G67" s="22"/>
      <c r="H67" s="13"/>
      <c r="J67" s="11"/>
      <c r="K67" s="15"/>
      <c r="L67" s="2"/>
      <c r="M67" s="4"/>
      <c r="N67" s="2"/>
      <c r="O67" s="2"/>
      <c r="P67" s="11"/>
      <c r="Y67" s="7"/>
      <c r="AA67" s="2"/>
      <c r="AC67" s="2"/>
      <c r="AD67" s="2"/>
      <c r="AE67" s="2"/>
      <c r="AF67" s="7"/>
      <c r="AG67" s="7"/>
      <c r="AI67" s="2"/>
      <c r="AR67" s="17"/>
      <c r="AS67" s="17"/>
    </row>
    <row r="68" spans="1:45" ht="16.5" customHeight="1" x14ac:dyDescent="0.3">
      <c r="A68" s="11"/>
      <c r="B68" s="11"/>
      <c r="C68" s="25"/>
      <c r="D68" s="33"/>
      <c r="E68" s="11"/>
      <c r="F68" s="11"/>
      <c r="G68" s="22"/>
      <c r="H68" s="13"/>
      <c r="J68" s="11"/>
      <c r="K68" s="15"/>
      <c r="L68" s="2"/>
      <c r="M68" s="4"/>
      <c r="N68" s="2"/>
      <c r="O68" s="2"/>
      <c r="P68" s="11"/>
      <c r="Y68" s="7"/>
      <c r="AA68" s="2"/>
      <c r="AC68" s="2"/>
      <c r="AD68" s="2"/>
      <c r="AE68" s="2"/>
      <c r="AF68" s="7"/>
      <c r="AG68" s="7"/>
      <c r="AI68" s="2"/>
      <c r="AR68" s="17"/>
      <c r="AS68" s="17"/>
    </row>
    <row r="69" spans="1:45" ht="16.5" customHeight="1" x14ac:dyDescent="0.3">
      <c r="A69" s="11"/>
      <c r="B69" s="11"/>
      <c r="C69" s="25"/>
      <c r="D69" s="33"/>
      <c r="E69" s="11"/>
      <c r="F69" s="11"/>
      <c r="G69" s="22"/>
      <c r="H69" s="13"/>
      <c r="J69" s="11"/>
      <c r="K69" s="15"/>
      <c r="L69" s="2"/>
      <c r="M69" s="4"/>
      <c r="N69" s="2"/>
      <c r="O69" s="2"/>
      <c r="P69" s="11"/>
      <c r="Y69" s="7"/>
      <c r="AA69" s="2"/>
      <c r="AC69" s="2"/>
      <c r="AD69" s="2"/>
      <c r="AE69" s="2"/>
      <c r="AF69" s="7"/>
      <c r="AG69" s="7"/>
      <c r="AI69" s="2"/>
      <c r="AR69" s="17"/>
      <c r="AS69" s="17"/>
    </row>
    <row r="70" spans="1:45" ht="16.5" customHeight="1" x14ac:dyDescent="0.3">
      <c r="A70" s="11"/>
      <c r="B70" s="11"/>
      <c r="C70" s="25"/>
      <c r="D70" s="33"/>
      <c r="E70" s="11"/>
      <c r="F70" s="11"/>
      <c r="G70" s="22"/>
      <c r="H70" s="13"/>
      <c r="J70" s="11"/>
      <c r="K70" s="15"/>
      <c r="L70" s="2"/>
      <c r="M70" s="4"/>
      <c r="N70" s="2"/>
      <c r="O70" s="2"/>
      <c r="P70" s="11"/>
      <c r="Y70" s="7"/>
      <c r="AA70" s="2"/>
      <c r="AC70" s="2"/>
      <c r="AD70" s="2"/>
      <c r="AE70" s="2"/>
      <c r="AF70" s="7"/>
      <c r="AG70" s="7"/>
      <c r="AI70" s="2"/>
      <c r="AR70" s="17"/>
      <c r="AS70" s="17"/>
    </row>
    <row r="71" spans="1:45" ht="16.5" customHeight="1" x14ac:dyDescent="0.3">
      <c r="A71" s="11"/>
      <c r="B71" s="11"/>
      <c r="C71" s="25"/>
      <c r="D71" s="33"/>
      <c r="E71" s="11"/>
      <c r="F71" s="11"/>
      <c r="G71" s="22"/>
      <c r="H71" s="13"/>
      <c r="J71" s="11"/>
      <c r="K71" s="15"/>
      <c r="L71" s="2"/>
      <c r="M71" s="4"/>
      <c r="N71" s="2"/>
      <c r="O71" s="2"/>
      <c r="P71" s="11"/>
      <c r="Y71" s="7"/>
      <c r="AA71" s="2"/>
      <c r="AC71" s="2"/>
      <c r="AD71" s="2"/>
      <c r="AE71" s="2"/>
      <c r="AF71" s="7"/>
      <c r="AG71" s="7"/>
      <c r="AI71" s="2"/>
      <c r="AR71" s="17"/>
      <c r="AS71" s="17"/>
    </row>
    <row r="72" spans="1:45" ht="16.5" customHeight="1" x14ac:dyDescent="0.3">
      <c r="A72" s="11"/>
      <c r="B72" s="11"/>
      <c r="C72" s="25"/>
      <c r="D72" s="33"/>
      <c r="E72" s="11"/>
      <c r="F72" s="11"/>
      <c r="G72" s="22"/>
      <c r="H72" s="13"/>
      <c r="J72" s="11"/>
      <c r="K72" s="15"/>
      <c r="L72" s="2"/>
      <c r="M72" s="4"/>
      <c r="N72" s="2"/>
      <c r="O72" s="2"/>
      <c r="P72" s="11"/>
      <c r="Y72" s="7"/>
      <c r="AA72" s="2"/>
      <c r="AC72" s="2"/>
      <c r="AD72" s="2"/>
      <c r="AE72" s="2"/>
      <c r="AF72" s="7"/>
      <c r="AG72" s="7"/>
      <c r="AI72" s="2"/>
      <c r="AR72" s="17"/>
      <c r="AS72" s="17"/>
    </row>
    <row r="73" spans="1:45" ht="16.5" customHeight="1" x14ac:dyDescent="0.3">
      <c r="A73" s="11"/>
      <c r="B73" s="11"/>
      <c r="C73" s="25"/>
      <c r="D73" s="33"/>
      <c r="E73" s="11"/>
      <c r="F73" s="11"/>
      <c r="G73" s="22"/>
      <c r="H73" s="13"/>
      <c r="J73" s="11"/>
      <c r="K73" s="15"/>
      <c r="L73" s="2"/>
      <c r="M73" s="4"/>
      <c r="N73" s="2"/>
      <c r="O73" s="2"/>
      <c r="P73" s="11"/>
      <c r="AA73" s="2"/>
      <c r="AC73" s="2"/>
      <c r="AD73" s="2"/>
      <c r="AE73" s="2"/>
      <c r="AF73" s="10"/>
      <c r="AG73" s="10"/>
      <c r="AI73" s="2"/>
      <c r="AR73" s="17"/>
      <c r="AS73" s="17"/>
    </row>
    <row r="74" spans="1:45" ht="16.5" customHeight="1" x14ac:dyDescent="0.3">
      <c r="A74" s="11"/>
      <c r="B74" s="11"/>
      <c r="C74" s="25"/>
      <c r="D74" s="33"/>
      <c r="E74" s="11"/>
      <c r="F74" s="11"/>
      <c r="G74" s="22"/>
      <c r="H74" s="13"/>
      <c r="J74" s="11"/>
      <c r="K74" s="15"/>
      <c r="L74" s="2"/>
      <c r="M74" s="4"/>
      <c r="N74" s="2"/>
      <c r="O74" s="2"/>
      <c r="P74" s="11"/>
      <c r="AA74" s="2"/>
      <c r="AC74" s="2"/>
      <c r="AD74" s="2"/>
      <c r="AE74" s="2"/>
      <c r="AF74" s="10"/>
      <c r="AG74" s="10"/>
      <c r="AI74" s="2"/>
      <c r="AR74" s="17"/>
      <c r="AS74" s="17"/>
    </row>
    <row r="75" spans="1:45" ht="16.5" customHeight="1" x14ac:dyDescent="0.3">
      <c r="A75" s="11"/>
      <c r="B75" s="11"/>
      <c r="C75" s="25"/>
      <c r="D75" s="33"/>
      <c r="E75" s="11"/>
      <c r="F75" s="11"/>
      <c r="G75" s="22"/>
      <c r="H75" s="13"/>
      <c r="J75" s="11"/>
      <c r="K75" s="15"/>
      <c r="L75" s="2"/>
      <c r="M75" s="4"/>
      <c r="N75" s="2"/>
      <c r="O75" s="2"/>
      <c r="P75" s="11"/>
      <c r="AA75" s="2"/>
      <c r="AC75" s="2"/>
      <c r="AD75" s="2"/>
      <c r="AE75" s="2"/>
      <c r="AF75" s="10"/>
      <c r="AG75" s="10"/>
      <c r="AI75" s="2"/>
      <c r="AR75" s="17"/>
      <c r="AS75" s="17"/>
    </row>
    <row r="76" spans="1:45" ht="16.5" customHeight="1" x14ac:dyDescent="0.3">
      <c r="A76" s="11"/>
      <c r="B76" s="11"/>
      <c r="C76" s="25"/>
      <c r="D76" s="33"/>
      <c r="E76" s="11"/>
      <c r="F76" s="11"/>
      <c r="G76" s="22"/>
      <c r="H76" s="13"/>
      <c r="J76" s="11"/>
      <c r="K76" s="15"/>
      <c r="L76" s="2"/>
      <c r="M76" s="4"/>
      <c r="N76" s="2"/>
      <c r="O76" s="2"/>
      <c r="P76" s="11"/>
      <c r="AA76" s="2"/>
      <c r="AC76" s="2"/>
      <c r="AD76" s="2"/>
      <c r="AE76" s="2"/>
      <c r="AF76" s="10"/>
      <c r="AG76" s="10"/>
      <c r="AI76" s="2"/>
      <c r="AR76" s="17"/>
      <c r="AS76" s="17"/>
    </row>
    <row r="77" spans="1:45" ht="16.5" customHeight="1" x14ac:dyDescent="0.3">
      <c r="A77" s="11"/>
      <c r="B77" s="11"/>
      <c r="C77" s="25"/>
      <c r="D77" s="33"/>
      <c r="E77" s="11"/>
      <c r="F77" s="11"/>
      <c r="G77" s="22"/>
      <c r="H77" s="13"/>
      <c r="J77" s="11"/>
      <c r="K77" s="15"/>
      <c r="L77" s="2"/>
      <c r="M77" s="4"/>
      <c r="N77" s="2"/>
      <c r="O77" s="2"/>
      <c r="P77" s="11"/>
      <c r="AA77" s="2"/>
      <c r="AC77" s="2"/>
      <c r="AD77" s="2"/>
      <c r="AE77" s="2"/>
      <c r="AF77" s="10"/>
      <c r="AG77" s="10"/>
      <c r="AI77" s="2"/>
      <c r="AR77" s="17"/>
      <c r="AS77" s="17"/>
    </row>
    <row r="78" spans="1:45" ht="16.5" customHeight="1" x14ac:dyDescent="0.3">
      <c r="A78" s="11"/>
      <c r="B78" s="11"/>
      <c r="C78" s="25"/>
      <c r="D78" s="33"/>
      <c r="E78" s="11"/>
      <c r="F78" s="11"/>
      <c r="G78" s="22"/>
      <c r="H78" s="13"/>
      <c r="J78" s="11"/>
      <c r="K78" s="15"/>
      <c r="L78" s="2"/>
      <c r="M78" s="4"/>
      <c r="N78" s="2"/>
      <c r="O78" s="2"/>
      <c r="P78" s="11"/>
      <c r="AA78" s="2"/>
      <c r="AC78" s="2"/>
      <c r="AD78" s="2"/>
      <c r="AE78" s="2"/>
      <c r="AF78" s="10"/>
      <c r="AG78" s="10"/>
      <c r="AI78" s="2"/>
      <c r="AR78" s="17"/>
      <c r="AS78" s="17"/>
    </row>
    <row r="79" spans="1:45" ht="16.5" customHeight="1" x14ac:dyDescent="0.3">
      <c r="A79" s="11"/>
      <c r="B79" s="11"/>
      <c r="C79" s="25"/>
      <c r="D79" s="33"/>
      <c r="E79" s="11"/>
      <c r="F79" s="11"/>
      <c r="G79" s="22"/>
      <c r="H79" s="13"/>
      <c r="J79" s="11"/>
      <c r="K79" s="15"/>
      <c r="L79" s="2"/>
      <c r="M79" s="4"/>
      <c r="N79" s="2"/>
      <c r="O79" s="2"/>
      <c r="P79" s="11"/>
      <c r="AA79" s="2"/>
      <c r="AC79" s="2"/>
      <c r="AD79" s="2"/>
      <c r="AE79" s="2"/>
      <c r="AF79" s="10"/>
      <c r="AG79" s="10"/>
      <c r="AI79" s="2"/>
      <c r="AR79" s="17"/>
      <c r="AS79" s="17"/>
    </row>
    <row r="80" spans="1:45" ht="16.5" customHeight="1" x14ac:dyDescent="0.3">
      <c r="A80" s="11"/>
      <c r="B80" s="11"/>
      <c r="C80" s="25"/>
      <c r="D80" s="33"/>
      <c r="E80" s="11"/>
      <c r="F80" s="11"/>
      <c r="G80" s="22"/>
      <c r="H80" s="13"/>
      <c r="J80" s="11"/>
      <c r="K80" s="15"/>
      <c r="L80" s="2"/>
      <c r="M80" s="4"/>
      <c r="N80" s="2"/>
      <c r="O80" s="2"/>
      <c r="P80" s="11"/>
      <c r="AA80" s="2"/>
      <c r="AC80" s="2"/>
      <c r="AD80" s="2"/>
      <c r="AE80" s="2"/>
      <c r="AF80" s="10"/>
      <c r="AG80" s="10"/>
      <c r="AI80" s="2"/>
      <c r="AR80" s="17"/>
      <c r="AS80" s="17"/>
    </row>
    <row r="81" spans="1:45" ht="16.5" customHeight="1" x14ac:dyDescent="0.3">
      <c r="A81" s="11"/>
      <c r="B81" s="11"/>
      <c r="C81" s="25"/>
      <c r="D81" s="33"/>
      <c r="E81" s="11"/>
      <c r="F81" s="11"/>
      <c r="G81" s="22"/>
      <c r="H81" s="13"/>
      <c r="J81" s="11"/>
      <c r="K81" s="15"/>
      <c r="L81" s="2"/>
      <c r="M81" s="4"/>
      <c r="N81" s="2"/>
      <c r="O81" s="2"/>
      <c r="P81" s="11"/>
      <c r="AA81" s="2"/>
      <c r="AC81" s="2"/>
      <c r="AD81" s="2"/>
      <c r="AE81" s="2"/>
      <c r="AF81" s="10"/>
      <c r="AG81" s="10"/>
      <c r="AI81" s="2"/>
      <c r="AR81" s="17"/>
      <c r="AS81" s="17"/>
    </row>
    <row r="82" spans="1:45" ht="16.5" customHeight="1" x14ac:dyDescent="0.3">
      <c r="A82" s="11"/>
      <c r="B82" s="11"/>
      <c r="C82" s="25"/>
      <c r="D82" s="33"/>
      <c r="E82" s="11"/>
      <c r="F82" s="11"/>
      <c r="G82" s="22"/>
      <c r="H82" s="13"/>
      <c r="J82" s="11"/>
      <c r="K82" s="15"/>
      <c r="L82" s="2"/>
      <c r="M82" s="4"/>
      <c r="N82" s="2"/>
      <c r="O82" s="2"/>
      <c r="P82" s="11"/>
      <c r="AA82" s="2"/>
      <c r="AC82" s="2"/>
      <c r="AD82" s="2"/>
      <c r="AE82" s="2"/>
      <c r="AF82" s="10"/>
      <c r="AG82" s="10"/>
      <c r="AI82" s="2"/>
      <c r="AR82" s="17"/>
      <c r="AS82" s="17"/>
    </row>
    <row r="83" spans="1:45" ht="16.5" customHeight="1" x14ac:dyDescent="0.3">
      <c r="A83" s="11"/>
      <c r="B83" s="11"/>
      <c r="C83" s="25"/>
      <c r="D83" s="33"/>
      <c r="E83" s="11"/>
      <c r="F83" s="11"/>
      <c r="G83" s="22"/>
      <c r="H83" s="13"/>
      <c r="J83" s="11"/>
      <c r="K83" s="15"/>
      <c r="L83" s="2"/>
      <c r="M83" s="4"/>
      <c r="N83" s="2"/>
      <c r="O83" s="2"/>
      <c r="P83" s="11"/>
      <c r="AA83" s="2"/>
      <c r="AC83" s="2"/>
      <c r="AD83" s="2"/>
      <c r="AE83" s="2"/>
      <c r="AF83" s="10"/>
      <c r="AG83" s="10"/>
      <c r="AI83" s="2"/>
      <c r="AR83" s="17"/>
      <c r="AS83" s="17"/>
    </row>
    <row r="84" spans="1:45" ht="16.5" customHeight="1" x14ac:dyDescent="0.3">
      <c r="A84" s="11"/>
      <c r="B84" s="11"/>
      <c r="C84" s="25"/>
      <c r="D84" s="33"/>
      <c r="E84" s="11"/>
      <c r="F84" s="11"/>
      <c r="G84" s="22"/>
      <c r="H84" s="13"/>
      <c r="J84" s="11"/>
      <c r="K84" s="16"/>
      <c r="L84" s="2"/>
      <c r="M84" s="4"/>
      <c r="N84" s="2"/>
      <c r="O84" s="2"/>
      <c r="P84" s="11"/>
      <c r="AA84" s="2"/>
      <c r="AB84" s="17"/>
      <c r="AC84" s="2"/>
      <c r="AD84" s="2"/>
      <c r="AE84" s="2"/>
      <c r="AF84" s="10"/>
      <c r="AG84" s="10"/>
      <c r="AI84" s="2"/>
      <c r="AR84" s="17"/>
      <c r="AS84" s="17"/>
    </row>
    <row r="85" spans="1:45" ht="16.5" customHeight="1" x14ac:dyDescent="0.3">
      <c r="A85" s="11"/>
      <c r="B85" s="11"/>
      <c r="C85" s="25"/>
      <c r="D85" s="33"/>
      <c r="E85" s="11"/>
      <c r="F85" s="11"/>
      <c r="G85" s="22"/>
      <c r="H85" s="13"/>
      <c r="J85" s="11"/>
      <c r="K85" s="15"/>
      <c r="L85" s="2"/>
      <c r="M85" s="4"/>
      <c r="N85" s="2"/>
      <c r="O85" s="2"/>
      <c r="P85" s="11"/>
      <c r="AA85" s="2"/>
      <c r="AC85" s="2"/>
      <c r="AD85" s="2"/>
      <c r="AE85" s="2"/>
      <c r="AF85" s="10"/>
      <c r="AG85" s="10"/>
      <c r="AI85" s="2"/>
      <c r="AR85" s="17"/>
      <c r="AS85" s="17"/>
    </row>
    <row r="86" spans="1:45" ht="16.5" customHeight="1" x14ac:dyDescent="0.3">
      <c r="A86" s="11"/>
      <c r="B86" s="11"/>
      <c r="C86" s="25"/>
      <c r="D86" s="33"/>
      <c r="E86" s="11"/>
      <c r="F86" s="11"/>
      <c r="G86" s="22"/>
      <c r="H86" s="13"/>
      <c r="J86" s="11"/>
      <c r="K86" s="15"/>
      <c r="L86" s="2"/>
      <c r="M86" s="4"/>
      <c r="N86" s="2"/>
      <c r="O86" s="2"/>
      <c r="P86" s="11"/>
      <c r="AA86" s="2"/>
      <c r="AC86" s="2"/>
      <c r="AD86" s="2"/>
      <c r="AE86" s="2"/>
      <c r="AF86" s="10"/>
      <c r="AG86" s="10"/>
      <c r="AI86" s="2"/>
      <c r="AR86" s="17"/>
      <c r="AS86" s="17"/>
    </row>
    <row r="87" spans="1:45" ht="16.5" customHeight="1" x14ac:dyDescent="0.3">
      <c r="A87" s="11"/>
      <c r="B87" s="11"/>
      <c r="C87" s="25"/>
      <c r="D87" s="33"/>
      <c r="E87" s="11"/>
      <c r="F87" s="11"/>
      <c r="G87" s="22"/>
      <c r="H87" s="13"/>
      <c r="J87" s="11"/>
      <c r="K87" s="15"/>
      <c r="L87" s="2"/>
      <c r="M87" s="4"/>
      <c r="N87" s="2"/>
      <c r="O87" s="2"/>
      <c r="P87" s="11"/>
      <c r="AA87" s="2"/>
      <c r="AC87" s="2"/>
      <c r="AD87" s="2"/>
      <c r="AE87" s="2"/>
      <c r="AF87" s="10"/>
      <c r="AG87" s="10"/>
      <c r="AI87" s="2"/>
      <c r="AR87" s="17"/>
      <c r="AS87" s="17"/>
    </row>
    <row r="88" spans="1:45" ht="16.5" customHeight="1" x14ac:dyDescent="0.3">
      <c r="A88" s="11"/>
      <c r="B88" s="11"/>
      <c r="C88" s="25"/>
      <c r="D88" s="33"/>
      <c r="E88" s="11"/>
      <c r="F88" s="11"/>
      <c r="G88" s="22"/>
      <c r="H88" s="13"/>
      <c r="J88" s="11"/>
      <c r="K88" s="15"/>
      <c r="L88" s="2"/>
      <c r="M88" s="4"/>
      <c r="N88" s="2"/>
      <c r="O88" s="2"/>
      <c r="P88" s="11"/>
      <c r="AA88" s="2"/>
      <c r="AC88" s="2"/>
      <c r="AD88" s="2"/>
      <c r="AE88" s="2"/>
      <c r="AF88" s="10"/>
      <c r="AG88" s="10"/>
      <c r="AI88" s="2"/>
      <c r="AR88" s="17"/>
      <c r="AS88" s="17"/>
    </row>
    <row r="89" spans="1:45" ht="16.5" customHeight="1" x14ac:dyDescent="0.3">
      <c r="A89" s="11"/>
      <c r="B89" s="11"/>
      <c r="C89" s="25"/>
      <c r="D89" s="33"/>
      <c r="E89" s="11"/>
      <c r="F89" s="11"/>
      <c r="G89" s="22"/>
      <c r="H89" s="13"/>
      <c r="J89" s="11"/>
      <c r="K89" s="15"/>
      <c r="L89" s="2"/>
      <c r="M89" s="4"/>
      <c r="N89" s="2"/>
      <c r="O89" s="2"/>
      <c r="P89" s="11"/>
      <c r="AA89" s="2"/>
      <c r="AC89" s="2"/>
      <c r="AD89" s="2"/>
      <c r="AE89" s="2"/>
      <c r="AF89" s="10"/>
      <c r="AG89" s="10"/>
      <c r="AI89" s="2"/>
      <c r="AR89" s="17"/>
      <c r="AS89" s="17"/>
    </row>
    <row r="90" spans="1:45" ht="16.5" customHeight="1" x14ac:dyDescent="0.3">
      <c r="A90" s="11"/>
      <c r="B90" s="11"/>
      <c r="C90" s="25"/>
      <c r="D90" s="33"/>
      <c r="E90" s="11"/>
      <c r="F90" s="11"/>
      <c r="G90" s="22"/>
      <c r="H90" s="13"/>
      <c r="J90" s="11"/>
      <c r="K90" s="15"/>
      <c r="L90" s="2"/>
      <c r="M90" s="4"/>
      <c r="N90" s="2"/>
      <c r="O90" s="2"/>
      <c r="P90" s="11"/>
      <c r="AA90" s="2"/>
      <c r="AC90" s="2"/>
      <c r="AD90" s="2"/>
      <c r="AE90" s="2"/>
      <c r="AF90" s="10"/>
      <c r="AG90" s="10"/>
      <c r="AI90" s="2"/>
      <c r="AR90" s="17"/>
      <c r="AS90" s="17"/>
    </row>
    <row r="91" spans="1:45" ht="16.5" customHeight="1" x14ac:dyDescent="0.3">
      <c r="A91" s="11"/>
      <c r="B91" s="11"/>
      <c r="C91" s="25"/>
      <c r="D91" s="33"/>
      <c r="E91" s="11"/>
      <c r="F91" s="11"/>
      <c r="G91" s="22"/>
      <c r="H91" s="13"/>
      <c r="J91" s="11"/>
      <c r="K91" s="15"/>
      <c r="L91" s="2"/>
      <c r="M91" s="4"/>
      <c r="N91" s="2"/>
      <c r="O91" s="2"/>
      <c r="P91" s="11"/>
      <c r="AA91" s="2"/>
      <c r="AC91" s="2"/>
      <c r="AD91" s="2"/>
      <c r="AE91" s="2"/>
      <c r="AF91" s="10"/>
      <c r="AG91" s="10"/>
      <c r="AI91" s="2"/>
      <c r="AR91" s="17"/>
      <c r="AS91" s="17"/>
    </row>
    <row r="92" spans="1:45" ht="16.5" customHeight="1" x14ac:dyDescent="0.3">
      <c r="A92" s="11"/>
      <c r="B92" s="11"/>
      <c r="C92" s="25"/>
      <c r="D92" s="33"/>
      <c r="E92" s="11"/>
      <c r="F92" s="11"/>
      <c r="G92" s="22"/>
      <c r="H92" s="13"/>
      <c r="J92" s="11"/>
      <c r="K92" s="15"/>
      <c r="L92" s="2"/>
      <c r="M92" s="4"/>
      <c r="N92" s="2"/>
      <c r="O92" s="2"/>
      <c r="P92" s="11"/>
      <c r="AA92" s="2"/>
      <c r="AC92" s="2"/>
      <c r="AD92" s="2"/>
      <c r="AE92" s="2"/>
      <c r="AF92" s="10"/>
      <c r="AG92" s="10"/>
      <c r="AI92" s="2"/>
      <c r="AR92" s="17"/>
      <c r="AS92" s="17"/>
    </row>
    <row r="93" spans="1:45" ht="16.5" customHeight="1" x14ac:dyDescent="0.3">
      <c r="A93" s="11"/>
      <c r="B93" s="11"/>
      <c r="C93" s="25"/>
      <c r="D93" s="33"/>
      <c r="E93" s="11"/>
      <c r="F93" s="11"/>
      <c r="G93" s="22"/>
      <c r="H93" s="13"/>
      <c r="J93" s="11"/>
      <c r="K93" s="15"/>
      <c r="L93" s="2"/>
      <c r="M93" s="4"/>
      <c r="N93" s="2"/>
      <c r="O93" s="2"/>
      <c r="P93" s="11"/>
      <c r="AA93" s="2"/>
      <c r="AC93" s="2"/>
      <c r="AD93" s="2"/>
      <c r="AE93" s="2"/>
      <c r="AF93" s="10"/>
      <c r="AG93" s="10"/>
      <c r="AI93" s="2"/>
      <c r="AR93" s="17"/>
      <c r="AS93" s="17"/>
    </row>
    <row r="94" spans="1:45" ht="16.5" customHeight="1" x14ac:dyDescent="0.3">
      <c r="A94" s="11"/>
      <c r="B94" s="11"/>
      <c r="C94" s="25"/>
      <c r="D94" s="33"/>
      <c r="E94" s="11"/>
      <c r="F94" s="11"/>
      <c r="G94" s="22"/>
      <c r="H94" s="13"/>
      <c r="J94" s="11"/>
      <c r="K94" s="15"/>
      <c r="L94" s="2"/>
      <c r="M94" s="4"/>
      <c r="N94" s="2"/>
      <c r="O94" s="2"/>
      <c r="P94" s="11"/>
      <c r="AA94" s="2"/>
      <c r="AC94" s="2"/>
      <c r="AD94" s="2"/>
      <c r="AE94" s="2"/>
      <c r="AF94" s="10"/>
      <c r="AG94" s="10"/>
      <c r="AI94" s="2"/>
      <c r="AR94" s="17"/>
      <c r="AS94" s="17"/>
    </row>
    <row r="95" spans="1:45" ht="16.5" customHeight="1" x14ac:dyDescent="0.3">
      <c r="A95" s="11"/>
      <c r="B95" s="11"/>
      <c r="C95" s="25"/>
      <c r="D95" s="33"/>
      <c r="E95" s="11"/>
      <c r="F95" s="11"/>
      <c r="G95" s="22"/>
      <c r="H95" s="13"/>
      <c r="J95" s="11"/>
      <c r="K95" s="15"/>
      <c r="L95" s="2"/>
      <c r="M95" s="4"/>
      <c r="N95" s="2"/>
      <c r="O95" s="2"/>
      <c r="P95" s="11"/>
      <c r="AA95" s="2"/>
      <c r="AC95" s="2"/>
      <c r="AD95" s="2"/>
      <c r="AE95" s="2"/>
      <c r="AF95" s="10"/>
      <c r="AG95" s="10"/>
      <c r="AI95" s="2"/>
      <c r="AR95" s="17"/>
      <c r="AS95" s="17"/>
    </row>
    <row r="96" spans="1:45" ht="16.5" customHeight="1" x14ac:dyDescent="0.3">
      <c r="A96" s="11"/>
      <c r="B96" s="11"/>
      <c r="C96" s="25"/>
      <c r="D96" s="33"/>
      <c r="E96" s="11"/>
      <c r="F96" s="11"/>
      <c r="G96" s="22"/>
      <c r="H96" s="13"/>
      <c r="J96" s="11"/>
      <c r="K96" s="15"/>
      <c r="L96" s="2"/>
      <c r="M96" s="4"/>
      <c r="N96" s="2"/>
      <c r="O96" s="2"/>
      <c r="P96" s="11"/>
      <c r="AA96" s="2"/>
      <c r="AC96" s="2"/>
      <c r="AD96" s="2"/>
      <c r="AE96" s="2"/>
      <c r="AF96" s="10"/>
      <c r="AG96" s="10"/>
      <c r="AI96" s="2"/>
      <c r="AR96" s="17"/>
      <c r="AS96" s="17"/>
    </row>
    <row r="97" spans="1:45" ht="16.5" customHeight="1" x14ac:dyDescent="0.3">
      <c r="A97" s="11"/>
      <c r="B97" s="11"/>
      <c r="C97" s="25"/>
      <c r="D97" s="33"/>
      <c r="E97" s="11"/>
      <c r="F97" s="11"/>
      <c r="G97" s="22"/>
      <c r="H97" s="13"/>
      <c r="J97" s="11"/>
      <c r="K97" s="15"/>
      <c r="L97" s="2"/>
      <c r="M97" s="4"/>
      <c r="N97" s="2"/>
      <c r="O97" s="2"/>
      <c r="P97" s="11"/>
      <c r="AA97" s="2"/>
      <c r="AC97" s="2"/>
      <c r="AD97" s="2"/>
      <c r="AE97" s="2"/>
      <c r="AF97" s="10"/>
      <c r="AG97" s="10"/>
      <c r="AI97" s="2"/>
      <c r="AR97" s="17"/>
      <c r="AS97" s="17"/>
    </row>
    <row r="98" spans="1:45" ht="16.5" customHeight="1" x14ac:dyDescent="0.3">
      <c r="A98" s="11"/>
      <c r="B98" s="11"/>
      <c r="C98" s="25"/>
      <c r="D98" s="33"/>
      <c r="E98" s="11"/>
      <c r="F98" s="11"/>
      <c r="G98" s="22"/>
      <c r="H98" s="13"/>
      <c r="J98" s="11"/>
      <c r="K98" s="15"/>
      <c r="L98" s="2"/>
      <c r="M98" s="4"/>
      <c r="N98" s="2"/>
      <c r="O98" s="2"/>
      <c r="P98" s="11"/>
      <c r="AA98" s="2"/>
      <c r="AC98" s="2"/>
      <c r="AD98" s="2"/>
      <c r="AE98" s="2"/>
      <c r="AF98" s="10"/>
      <c r="AG98" s="10"/>
      <c r="AI98" s="2"/>
      <c r="AR98" s="17"/>
      <c r="AS98" s="17"/>
    </row>
    <row r="99" spans="1:45" ht="16.5" customHeight="1" x14ac:dyDescent="0.3">
      <c r="A99" s="11"/>
      <c r="B99" s="11"/>
      <c r="C99" s="25"/>
      <c r="D99" s="33"/>
      <c r="E99" s="11"/>
      <c r="F99" s="11"/>
      <c r="G99" s="22"/>
      <c r="H99" s="13"/>
      <c r="J99" s="11"/>
      <c r="K99" s="15"/>
      <c r="L99" s="2"/>
      <c r="M99" s="4"/>
      <c r="N99" s="2"/>
      <c r="O99" s="2"/>
      <c r="P99" s="11"/>
      <c r="AA99" s="2"/>
      <c r="AC99" s="2"/>
      <c r="AD99" s="2"/>
      <c r="AE99" s="2"/>
      <c r="AF99" s="10"/>
      <c r="AG99" s="10"/>
      <c r="AI99" s="2"/>
      <c r="AR99" s="17"/>
      <c r="AS99" s="17"/>
    </row>
    <row r="100" spans="1:45" ht="16.5" customHeight="1" x14ac:dyDescent="0.3">
      <c r="A100" s="11"/>
      <c r="B100" s="11"/>
      <c r="C100" s="25"/>
      <c r="D100" s="33"/>
      <c r="E100" s="11"/>
      <c r="F100" s="11"/>
      <c r="G100" s="22"/>
      <c r="H100" s="13"/>
      <c r="J100" s="11"/>
      <c r="K100" s="15"/>
      <c r="L100" s="2"/>
      <c r="M100" s="4"/>
      <c r="N100" s="2"/>
      <c r="O100" s="2"/>
      <c r="P100" s="11"/>
      <c r="AA100" s="2"/>
      <c r="AC100" s="2"/>
      <c r="AD100" s="2"/>
      <c r="AE100" s="2"/>
      <c r="AF100" s="10"/>
      <c r="AG100" s="10"/>
      <c r="AI100" s="2"/>
      <c r="AR100" s="17"/>
      <c r="AS100" s="17"/>
    </row>
    <row r="101" spans="1:45" ht="16.5" customHeight="1" x14ac:dyDescent="0.3">
      <c r="A101" s="11"/>
      <c r="B101" s="11"/>
      <c r="C101" s="25"/>
      <c r="D101" s="33"/>
      <c r="E101" s="11"/>
      <c r="F101" s="11"/>
      <c r="G101" s="22"/>
      <c r="H101" s="13"/>
      <c r="J101" s="11"/>
      <c r="K101" s="15"/>
      <c r="L101" s="2"/>
      <c r="M101" s="4"/>
      <c r="N101" s="2"/>
      <c r="O101" s="2"/>
      <c r="P101" s="11"/>
      <c r="AA101" s="2"/>
      <c r="AC101" s="2"/>
      <c r="AD101" s="2"/>
      <c r="AE101" s="2"/>
      <c r="AF101" s="10"/>
      <c r="AG101" s="10"/>
      <c r="AI101" s="2"/>
      <c r="AR101" s="17"/>
      <c r="AS101" s="17"/>
    </row>
    <row r="102" spans="1:45" ht="16.5" customHeight="1" x14ac:dyDescent="0.3">
      <c r="A102" s="11"/>
      <c r="B102" s="11"/>
      <c r="C102" s="25"/>
      <c r="D102" s="33"/>
      <c r="E102" s="11"/>
      <c r="F102" s="11"/>
      <c r="G102" s="22"/>
      <c r="H102" s="13"/>
      <c r="J102" s="11"/>
      <c r="K102" s="15"/>
      <c r="L102" s="2"/>
      <c r="M102" s="4"/>
      <c r="N102" s="2"/>
      <c r="O102" s="2"/>
      <c r="P102" s="11"/>
      <c r="AA102" s="2"/>
      <c r="AC102" s="2"/>
      <c r="AD102" s="2"/>
      <c r="AE102" s="2"/>
      <c r="AF102" s="10"/>
      <c r="AG102" s="10"/>
      <c r="AI102" s="2"/>
      <c r="AR102" s="17"/>
      <c r="AS102" s="17"/>
    </row>
    <row r="103" spans="1:45" ht="16.5" customHeight="1" x14ac:dyDescent="0.3">
      <c r="A103" s="11"/>
      <c r="B103" s="11"/>
      <c r="C103" s="25"/>
      <c r="D103" s="33"/>
      <c r="E103" s="11"/>
      <c r="F103" s="11"/>
      <c r="G103" s="22"/>
      <c r="H103" s="13"/>
      <c r="J103" s="11"/>
      <c r="K103" s="15"/>
      <c r="L103" s="2"/>
      <c r="M103" s="4"/>
      <c r="N103" s="2"/>
      <c r="O103" s="2"/>
      <c r="P103" s="11"/>
      <c r="AA103" s="2"/>
      <c r="AC103" s="2"/>
      <c r="AD103" s="2"/>
      <c r="AE103" s="2"/>
      <c r="AF103" s="10"/>
      <c r="AG103" s="10"/>
      <c r="AI103" s="2"/>
      <c r="AR103" s="17"/>
      <c r="AS103" s="17"/>
    </row>
    <row r="104" spans="1:45" ht="16.5" customHeight="1" x14ac:dyDescent="0.3">
      <c r="A104" s="11"/>
      <c r="B104" s="11"/>
      <c r="C104" s="25"/>
      <c r="D104" s="33"/>
      <c r="E104" s="11"/>
      <c r="F104" s="11"/>
      <c r="G104" s="22"/>
      <c r="H104" s="13"/>
      <c r="J104" s="11"/>
      <c r="K104" s="15"/>
      <c r="L104" s="2"/>
      <c r="M104" s="4"/>
      <c r="N104" s="2"/>
      <c r="O104" s="2"/>
      <c r="P104" s="11"/>
      <c r="AA104" s="2"/>
      <c r="AC104" s="2"/>
      <c r="AD104" s="2"/>
      <c r="AE104" s="2"/>
      <c r="AF104" s="10"/>
      <c r="AG104" s="10"/>
      <c r="AI104" s="2"/>
      <c r="AR104" s="17"/>
      <c r="AS104" s="17"/>
    </row>
    <row r="105" spans="1:45" ht="16.5" customHeight="1" x14ac:dyDescent="0.3">
      <c r="A105" s="11"/>
      <c r="B105" s="11"/>
      <c r="C105" s="25"/>
      <c r="D105" s="33"/>
      <c r="E105" s="11"/>
      <c r="F105" s="11"/>
      <c r="G105" s="22"/>
      <c r="H105" s="13"/>
      <c r="J105" s="11"/>
      <c r="K105" s="15"/>
      <c r="L105" s="2"/>
      <c r="M105" s="4"/>
      <c r="N105" s="2"/>
      <c r="O105" s="2"/>
      <c r="P105" s="11"/>
      <c r="AA105" s="2"/>
      <c r="AC105" s="2"/>
      <c r="AD105" s="2"/>
      <c r="AE105" s="2"/>
      <c r="AF105" s="10"/>
      <c r="AG105" s="10"/>
      <c r="AI105" s="2"/>
      <c r="AR105" s="17"/>
      <c r="AS105" s="17"/>
    </row>
    <row r="106" spans="1:45" ht="16.5" customHeight="1" x14ac:dyDescent="0.3">
      <c r="A106" s="11"/>
      <c r="B106" s="11"/>
      <c r="C106" s="25"/>
      <c r="D106" s="33"/>
      <c r="E106" s="11"/>
      <c r="F106" s="11"/>
      <c r="G106" s="22"/>
      <c r="H106" s="13"/>
      <c r="J106" s="11"/>
      <c r="K106" s="15"/>
      <c r="L106" s="2"/>
      <c r="M106" s="4"/>
      <c r="N106" s="2"/>
      <c r="O106" s="2"/>
      <c r="P106" s="11"/>
      <c r="AA106" s="2"/>
      <c r="AC106" s="2"/>
      <c r="AD106" s="2"/>
      <c r="AE106" s="2"/>
      <c r="AF106" s="10"/>
      <c r="AG106" s="10"/>
      <c r="AI106" s="2"/>
      <c r="AR106" s="17"/>
      <c r="AS106" s="17"/>
    </row>
    <row r="107" spans="1:45" ht="16.5" customHeight="1" x14ac:dyDescent="0.3">
      <c r="A107" s="11"/>
      <c r="B107" s="11"/>
      <c r="C107" s="25"/>
      <c r="D107" s="33"/>
      <c r="E107" s="11"/>
      <c r="F107" s="11"/>
      <c r="G107" s="22"/>
      <c r="H107" s="13"/>
      <c r="J107" s="11"/>
      <c r="K107" s="15"/>
      <c r="L107" s="2"/>
      <c r="M107" s="4"/>
      <c r="N107" s="2"/>
      <c r="O107" s="2"/>
      <c r="P107" s="11"/>
      <c r="AA107" s="2"/>
      <c r="AC107" s="2"/>
      <c r="AD107" s="2"/>
      <c r="AE107" s="2"/>
      <c r="AF107" s="10"/>
      <c r="AG107" s="10"/>
      <c r="AI107" s="2"/>
      <c r="AR107" s="17"/>
      <c r="AS107" s="17"/>
    </row>
    <row r="108" spans="1:45" ht="16.5" customHeight="1" x14ac:dyDescent="0.3">
      <c r="A108" s="11"/>
      <c r="B108" s="11"/>
      <c r="C108" s="25"/>
      <c r="D108" s="33"/>
      <c r="E108" s="11"/>
      <c r="F108" s="11"/>
      <c r="G108" s="22"/>
      <c r="H108" s="13"/>
      <c r="J108" s="11"/>
      <c r="K108" s="16"/>
      <c r="L108" s="2"/>
      <c r="M108" s="4"/>
      <c r="N108" s="2"/>
      <c r="O108" s="2"/>
      <c r="P108" s="11"/>
      <c r="AA108" s="2"/>
      <c r="AC108" s="2"/>
      <c r="AD108" s="2"/>
      <c r="AE108" s="2"/>
      <c r="AF108" s="10"/>
      <c r="AG108" s="10"/>
      <c r="AI108" s="2"/>
      <c r="AR108" s="17"/>
      <c r="AS108" s="17"/>
    </row>
    <row r="109" spans="1:45" ht="16.5" customHeight="1" x14ac:dyDescent="0.3">
      <c r="A109" s="11"/>
      <c r="B109" s="11"/>
      <c r="C109" s="25"/>
      <c r="D109" s="33"/>
      <c r="E109" s="11"/>
      <c r="F109" s="11"/>
      <c r="G109" s="22"/>
      <c r="H109" s="13"/>
      <c r="J109" s="11"/>
      <c r="K109" s="16"/>
      <c r="L109" s="2"/>
      <c r="M109" s="4"/>
      <c r="N109" s="2"/>
      <c r="O109" s="2"/>
      <c r="P109" s="11"/>
      <c r="AA109" s="2"/>
      <c r="AC109" s="2"/>
      <c r="AD109" s="2"/>
      <c r="AE109" s="2"/>
      <c r="AF109" s="10"/>
      <c r="AG109" s="10"/>
      <c r="AI109" s="2"/>
      <c r="AR109" s="17"/>
      <c r="AS109" s="17"/>
    </row>
    <row r="110" spans="1:45" ht="16.5" customHeight="1" x14ac:dyDescent="0.3">
      <c r="A110" s="11"/>
      <c r="B110" s="11"/>
      <c r="C110" s="25"/>
      <c r="D110" s="33"/>
      <c r="E110" s="11"/>
      <c r="F110" s="11"/>
      <c r="G110" s="22"/>
      <c r="H110" s="13"/>
      <c r="J110" s="11"/>
      <c r="K110" s="15"/>
      <c r="L110" s="2"/>
      <c r="M110" s="4"/>
      <c r="N110" s="2"/>
      <c r="O110" s="2"/>
      <c r="P110" s="11"/>
      <c r="AA110" s="2"/>
      <c r="AC110" s="2"/>
      <c r="AD110" s="2"/>
      <c r="AE110" s="2"/>
      <c r="AF110" s="10"/>
      <c r="AG110" s="10"/>
      <c r="AI110" s="2"/>
      <c r="AR110" s="17"/>
      <c r="AS110" s="17"/>
    </row>
    <row r="111" spans="1:45" ht="16.5" customHeight="1" x14ac:dyDescent="0.3">
      <c r="A111" s="12"/>
      <c r="B111" s="12"/>
      <c r="C111" s="26"/>
      <c r="D111" s="34"/>
      <c r="E111" s="12"/>
      <c r="F111" s="12"/>
      <c r="G111" s="22"/>
      <c r="H111" s="13"/>
      <c r="J111" s="11"/>
      <c r="K111" s="15"/>
      <c r="L111" s="2"/>
      <c r="M111" s="4"/>
      <c r="N111" s="2"/>
      <c r="O111" s="2"/>
      <c r="P111" s="11"/>
      <c r="AA111" s="2"/>
      <c r="AC111" s="2"/>
      <c r="AD111" s="2"/>
      <c r="AE111" s="2"/>
      <c r="AF111" s="10"/>
      <c r="AG111" s="10"/>
      <c r="AI111" s="2"/>
      <c r="AR111" s="17"/>
      <c r="AS111" s="17"/>
    </row>
    <row r="112" spans="1:45" ht="16.5" customHeight="1" x14ac:dyDescent="0.3">
      <c r="A112" s="11"/>
      <c r="B112" s="11"/>
      <c r="C112" s="25"/>
      <c r="D112" s="33"/>
      <c r="E112" s="11"/>
      <c r="F112" s="11"/>
      <c r="G112" s="22"/>
      <c r="H112" s="13"/>
      <c r="J112" s="11"/>
      <c r="K112" s="15"/>
      <c r="L112" s="2"/>
      <c r="M112" s="4"/>
      <c r="N112" s="2"/>
      <c r="O112" s="2"/>
      <c r="P112" s="11"/>
      <c r="AA112" s="2"/>
      <c r="AC112" s="2"/>
      <c r="AD112" s="2"/>
      <c r="AE112" s="2"/>
      <c r="AF112" s="10"/>
      <c r="AG112" s="10"/>
      <c r="AI112" s="2"/>
      <c r="AR112" s="17"/>
      <c r="AS112" s="17"/>
    </row>
    <row r="113" spans="1:45" ht="16.5" customHeight="1" x14ac:dyDescent="0.3">
      <c r="A113" s="14"/>
      <c r="B113" s="14"/>
      <c r="C113" s="27"/>
      <c r="D113" s="35"/>
      <c r="E113" s="14"/>
      <c r="F113" s="14"/>
      <c r="G113" s="22"/>
      <c r="H113" s="13"/>
      <c r="J113" s="14"/>
      <c r="K113" s="15"/>
      <c r="L113" s="2"/>
      <c r="M113" s="4"/>
      <c r="N113" s="2"/>
      <c r="O113" s="2"/>
      <c r="P113" s="14"/>
      <c r="AA113" s="2"/>
      <c r="AC113" s="2"/>
      <c r="AD113" s="2"/>
      <c r="AE113" s="2"/>
      <c r="AF113" s="10"/>
      <c r="AG113" s="10"/>
      <c r="AI113" s="2"/>
      <c r="AR113" s="17"/>
      <c r="AS113" s="17"/>
    </row>
    <row r="114" spans="1:45" ht="16.5" customHeight="1" x14ac:dyDescent="0.3">
      <c r="AR114" s="17"/>
      <c r="AS114" s="17"/>
    </row>
    <row r="115" spans="1:45" ht="16.5" customHeight="1" x14ac:dyDescent="0.3">
      <c r="AR115" s="17"/>
      <c r="AS115" s="17"/>
    </row>
    <row r="116" spans="1:45" ht="16.5" customHeight="1" x14ac:dyDescent="0.3">
      <c r="AR116" s="17"/>
      <c r="AS116" s="17"/>
    </row>
    <row r="117" spans="1:45" ht="16.5" customHeight="1" x14ac:dyDescent="0.3">
      <c r="AR117" s="17"/>
      <c r="AS117" s="17"/>
    </row>
    <row r="118" spans="1:45" ht="16.5" customHeight="1" x14ac:dyDescent="0.3">
      <c r="AR118" s="17"/>
      <c r="AS118" s="17"/>
    </row>
    <row r="119" spans="1:45" ht="16.5" customHeight="1" x14ac:dyDescent="0.3">
      <c r="AR119" s="17"/>
      <c r="AS119" s="17"/>
    </row>
    <row r="120" spans="1:45" ht="16.5" customHeight="1" x14ac:dyDescent="0.3">
      <c r="AR120" s="17"/>
      <c r="AS120" s="17"/>
    </row>
    <row r="121" spans="1:45" ht="16.5" customHeight="1" x14ac:dyDescent="0.3">
      <c r="AR121" s="17"/>
      <c r="AS121" s="17"/>
    </row>
    <row r="122" spans="1:45" ht="16.5" customHeight="1" x14ac:dyDescent="0.3">
      <c r="AR122" s="17"/>
      <c r="AS122" s="17"/>
    </row>
    <row r="123" spans="1:45" ht="16.5" customHeight="1" x14ac:dyDescent="0.3">
      <c r="AR123" s="17"/>
      <c r="AS123" s="17"/>
    </row>
    <row r="124" spans="1:45" ht="16.5" customHeight="1" x14ac:dyDescent="0.3">
      <c r="AR124" s="17"/>
      <c r="AS124" s="17"/>
    </row>
    <row r="125" spans="1:45" ht="16.5" customHeight="1" x14ac:dyDescent="0.3">
      <c r="AR125" s="17"/>
      <c r="AS125" s="17"/>
    </row>
    <row r="126" spans="1:45" ht="16.5" customHeight="1" x14ac:dyDescent="0.3">
      <c r="AR126" s="17"/>
      <c r="AS126" s="17"/>
    </row>
    <row r="127" spans="1:45" ht="16.5" customHeight="1" x14ac:dyDescent="0.3">
      <c r="AR127" s="17"/>
      <c r="AS127" s="17"/>
    </row>
    <row r="128" spans="1:45" ht="16.5" customHeight="1" x14ac:dyDescent="0.3">
      <c r="AR128" s="17"/>
      <c r="AS128" s="17"/>
    </row>
    <row r="129" spans="44:45" ht="16.5" customHeight="1" x14ac:dyDescent="0.3">
      <c r="AR129" s="17"/>
      <c r="AS129" s="17"/>
    </row>
    <row r="130" spans="44:45" ht="16.5" customHeight="1" x14ac:dyDescent="0.3">
      <c r="AR130" s="17"/>
      <c r="AS130" s="17"/>
    </row>
    <row r="131" spans="44:45" ht="16.5" customHeight="1" x14ac:dyDescent="0.3">
      <c r="AR131" s="17"/>
      <c r="AS131" s="17"/>
    </row>
    <row r="132" spans="44:45" ht="16.5" customHeight="1" x14ac:dyDescent="0.3">
      <c r="AR132" s="17"/>
      <c r="AS132" s="17"/>
    </row>
    <row r="133" spans="44:45" ht="16.5" customHeight="1" x14ac:dyDescent="0.3">
      <c r="AR133" s="17"/>
      <c r="AS133" s="17"/>
    </row>
    <row r="134" spans="44:45" ht="16.5" customHeight="1" x14ac:dyDescent="0.3">
      <c r="AR134" s="17"/>
      <c r="AS134" s="17"/>
    </row>
    <row r="135" spans="44:45" ht="16.5" customHeight="1" x14ac:dyDescent="0.3">
      <c r="AR135" s="17"/>
      <c r="AS135" s="17"/>
    </row>
    <row r="136" spans="44:45" ht="16.5" customHeight="1" x14ac:dyDescent="0.3">
      <c r="AR136" s="17"/>
      <c r="AS136" s="17"/>
    </row>
    <row r="137" spans="44:45" ht="16.5" customHeight="1" x14ac:dyDescent="0.3">
      <c r="AR137" s="17"/>
      <c r="AS137" s="17"/>
    </row>
    <row r="138" spans="44:45" ht="16.5" customHeight="1" x14ac:dyDescent="0.3">
      <c r="AR138" s="17"/>
      <c r="AS138" s="17"/>
    </row>
    <row r="139" spans="44:45" ht="16.5" customHeight="1" x14ac:dyDescent="0.3">
      <c r="AR139" s="17"/>
      <c r="AS139" s="17"/>
    </row>
    <row r="140" spans="44:45" ht="16.5" customHeight="1" x14ac:dyDescent="0.3">
      <c r="AR140" s="17"/>
      <c r="AS140" s="17"/>
    </row>
    <row r="141" spans="44:45" ht="16.5" customHeight="1" x14ac:dyDescent="0.3">
      <c r="AR141" s="17"/>
      <c r="AS141" s="17"/>
    </row>
    <row r="142" spans="44:45" ht="16.5" customHeight="1" x14ac:dyDescent="0.3">
      <c r="AR142" s="17"/>
      <c r="AS142" s="17"/>
    </row>
    <row r="143" spans="44:45" ht="16.5" customHeight="1" x14ac:dyDescent="0.3">
      <c r="AR143" s="17"/>
      <c r="AS143" s="17"/>
    </row>
    <row r="144" spans="44:45" ht="16.5" customHeight="1" x14ac:dyDescent="0.3">
      <c r="AR144" s="17"/>
      <c r="AS144" s="17"/>
    </row>
    <row r="145" spans="44:45" ht="16.5" customHeight="1" x14ac:dyDescent="0.3">
      <c r="AR145" s="17"/>
      <c r="AS145" s="17"/>
    </row>
    <row r="146" spans="44:45" ht="16.5" customHeight="1" x14ac:dyDescent="0.3">
      <c r="AR146" s="17"/>
      <c r="AS146" s="17"/>
    </row>
    <row r="147" spans="44:45" ht="16.5" customHeight="1" x14ac:dyDescent="0.3">
      <c r="AR147" s="17"/>
      <c r="AS147" s="17"/>
    </row>
    <row r="148" spans="44:45" ht="16.5" customHeight="1" x14ac:dyDescent="0.3">
      <c r="AR148" s="17"/>
      <c r="AS148" s="17"/>
    </row>
    <row r="149" spans="44:45" ht="16.5" customHeight="1" x14ac:dyDescent="0.3">
      <c r="AR149" s="17"/>
      <c r="AS149" s="17"/>
    </row>
    <row r="150" spans="44:45" ht="16.5" customHeight="1" x14ac:dyDescent="0.3">
      <c r="AR150" s="17"/>
      <c r="AS150" s="17"/>
    </row>
    <row r="151" spans="44:45" ht="16.5" customHeight="1" x14ac:dyDescent="0.3">
      <c r="AR151" s="17"/>
      <c r="AS151" s="17"/>
    </row>
    <row r="152" spans="44:45" ht="16.5" customHeight="1" x14ac:dyDescent="0.3">
      <c r="AR152" s="17"/>
      <c r="AS152" s="17"/>
    </row>
    <row r="153" spans="44:45" ht="16.5" customHeight="1" x14ac:dyDescent="0.3">
      <c r="AR153" s="17"/>
      <c r="AS153" s="17"/>
    </row>
    <row r="154" spans="44:45" ht="16.5" customHeight="1" x14ac:dyDescent="0.3">
      <c r="AR154" s="17"/>
      <c r="AS154" s="17"/>
    </row>
    <row r="155" spans="44:45" ht="16.5" customHeight="1" x14ac:dyDescent="0.3">
      <c r="AR155" s="17"/>
      <c r="AS155" s="17"/>
    </row>
    <row r="156" spans="44:45" ht="16.5" customHeight="1" x14ac:dyDescent="0.3">
      <c r="AR156" s="17"/>
      <c r="AS156" s="17"/>
    </row>
    <row r="157" spans="44:45" ht="16.5" customHeight="1" x14ac:dyDescent="0.3">
      <c r="AR157" s="17"/>
      <c r="AS157" s="17"/>
    </row>
    <row r="158" spans="44:45" ht="16.5" customHeight="1" x14ac:dyDescent="0.3">
      <c r="AR158" s="17"/>
      <c r="AS158" s="17"/>
    </row>
    <row r="159" spans="44:45" ht="16.5" customHeight="1" x14ac:dyDescent="0.3">
      <c r="AR159" s="17"/>
      <c r="AS159" s="17"/>
    </row>
    <row r="160" spans="44:45" ht="16.5" customHeight="1" x14ac:dyDescent="0.3">
      <c r="AR160" s="17"/>
      <c r="AS160" s="17"/>
    </row>
    <row r="161" spans="44:45" ht="16.5" customHeight="1" x14ac:dyDescent="0.3">
      <c r="AR161" s="17"/>
      <c r="AS161" s="17"/>
    </row>
    <row r="162" spans="44:45" ht="16.5" customHeight="1" x14ac:dyDescent="0.3">
      <c r="AR162" s="17"/>
      <c r="AS162" s="17"/>
    </row>
    <row r="163" spans="44:45" ht="16.5" customHeight="1" x14ac:dyDescent="0.3">
      <c r="AR163" s="17"/>
      <c r="AS163" s="17"/>
    </row>
    <row r="164" spans="44:45" ht="16.5" customHeight="1" x14ac:dyDescent="0.3">
      <c r="AR164" s="17"/>
      <c r="AS164" s="17"/>
    </row>
    <row r="165" spans="44:45" ht="16.5" customHeight="1" x14ac:dyDescent="0.3">
      <c r="AR165" s="17"/>
      <c r="AS165" s="17"/>
    </row>
    <row r="166" spans="44:45" ht="16.5" customHeight="1" x14ac:dyDescent="0.3">
      <c r="AR166" s="17"/>
      <c r="AS166" s="17"/>
    </row>
    <row r="167" spans="44:45" ht="16.5" customHeight="1" x14ac:dyDescent="0.3">
      <c r="AR167" s="17"/>
      <c r="AS167" s="17"/>
    </row>
    <row r="168" spans="44:45" ht="16.5" customHeight="1" x14ac:dyDescent="0.3">
      <c r="AR168" s="17"/>
      <c r="AS168" s="17"/>
    </row>
    <row r="169" spans="44:45" ht="16.5" customHeight="1" x14ac:dyDescent="0.3">
      <c r="AR169" s="17"/>
      <c r="AS169" s="17"/>
    </row>
    <row r="170" spans="44:45" ht="16.5" customHeight="1" x14ac:dyDescent="0.3">
      <c r="AR170" s="17"/>
      <c r="AS170" s="17"/>
    </row>
    <row r="171" spans="44:45" ht="16.5" customHeight="1" x14ac:dyDescent="0.3">
      <c r="AR171" s="17"/>
      <c r="AS171" s="17"/>
    </row>
    <row r="172" spans="44:45" ht="16.5" customHeight="1" x14ac:dyDescent="0.3">
      <c r="AR172" s="17"/>
      <c r="AS172" s="17"/>
    </row>
    <row r="173" spans="44:45" ht="16.5" customHeight="1" x14ac:dyDescent="0.3">
      <c r="AR173" s="17"/>
      <c r="AS173" s="17"/>
    </row>
    <row r="174" spans="44:45" ht="16.5" customHeight="1" x14ac:dyDescent="0.3">
      <c r="AR174" s="17"/>
      <c r="AS174" s="17"/>
    </row>
    <row r="175" spans="44:45" ht="16.5" customHeight="1" x14ac:dyDescent="0.3">
      <c r="AR175" s="17"/>
      <c r="AS175" s="17"/>
    </row>
    <row r="176" spans="44:45" ht="16.5" customHeight="1" x14ac:dyDescent="0.3">
      <c r="AR176" s="17"/>
      <c r="AS176" s="17"/>
    </row>
    <row r="177" spans="44:45" ht="16.5" customHeight="1" x14ac:dyDescent="0.3">
      <c r="AR177" s="17"/>
      <c r="AS177" s="17"/>
    </row>
    <row r="178" spans="44:45" ht="16.5" customHeight="1" x14ac:dyDescent="0.3">
      <c r="AR178" s="17"/>
      <c r="AS178" s="17"/>
    </row>
    <row r="179" spans="44:45" ht="16.5" customHeight="1" x14ac:dyDescent="0.3">
      <c r="AR179" s="17"/>
      <c r="AS179" s="17"/>
    </row>
    <row r="180" spans="44:45" ht="16.5" customHeight="1" x14ac:dyDescent="0.3">
      <c r="AR180" s="17"/>
      <c r="AS180" s="17"/>
    </row>
    <row r="181" spans="44:45" ht="16.5" customHeight="1" x14ac:dyDescent="0.3">
      <c r="AR181" s="17"/>
      <c r="AS181" s="17"/>
    </row>
    <row r="182" spans="44:45" ht="16.5" customHeight="1" x14ac:dyDescent="0.3">
      <c r="AR182" s="17"/>
      <c r="AS182" s="17"/>
    </row>
    <row r="183" spans="44:45" ht="16.5" customHeight="1" x14ac:dyDescent="0.3">
      <c r="AR183" s="17"/>
      <c r="AS183" s="17"/>
    </row>
    <row r="184" spans="44:45" ht="16.5" customHeight="1" x14ac:dyDescent="0.3">
      <c r="AR184" s="17"/>
      <c r="AS184" s="17"/>
    </row>
    <row r="185" spans="44:45" ht="16.5" customHeight="1" x14ac:dyDescent="0.3">
      <c r="AR185" s="17"/>
      <c r="AS185" s="17"/>
    </row>
    <row r="186" spans="44:45" ht="16.5" customHeight="1" x14ac:dyDescent="0.3">
      <c r="AR186" s="17"/>
      <c r="AS186" s="17"/>
    </row>
    <row r="187" spans="44:45" ht="16.5" customHeight="1" x14ac:dyDescent="0.3">
      <c r="AR187" s="17"/>
      <c r="AS187" s="17"/>
    </row>
    <row r="188" spans="44:45" ht="16.5" customHeight="1" x14ac:dyDescent="0.3">
      <c r="AR188" s="17"/>
      <c r="AS188" s="17"/>
    </row>
    <row r="189" spans="44:45" ht="16.5" customHeight="1" x14ac:dyDescent="0.3">
      <c r="AR189" s="17"/>
      <c r="AS189" s="17"/>
    </row>
    <row r="190" spans="44:45" ht="16.5" customHeight="1" x14ac:dyDescent="0.3">
      <c r="AR190" s="17"/>
      <c r="AS190" s="17"/>
    </row>
    <row r="191" spans="44:45" ht="16.5" customHeight="1" x14ac:dyDescent="0.3">
      <c r="AR191" s="17"/>
      <c r="AS191" s="17"/>
    </row>
    <row r="192" spans="44:45" ht="16.5" customHeight="1" x14ac:dyDescent="0.3">
      <c r="AR192" s="17"/>
      <c r="AS192" s="17"/>
    </row>
    <row r="193" spans="44:45" ht="16.5" customHeight="1" x14ac:dyDescent="0.3">
      <c r="AR193" s="17"/>
      <c r="AS193" s="17"/>
    </row>
    <row r="194" spans="44:45" ht="16.5" customHeight="1" x14ac:dyDescent="0.3">
      <c r="AR194" s="17"/>
      <c r="AS194" s="17"/>
    </row>
    <row r="195" spans="44:45" ht="16.5" customHeight="1" x14ac:dyDescent="0.3">
      <c r="AR195" s="17"/>
      <c r="AS195" s="17"/>
    </row>
    <row r="196" spans="44:45" ht="16.5" customHeight="1" x14ac:dyDescent="0.3">
      <c r="AR196" s="17"/>
      <c r="AS196" s="17"/>
    </row>
    <row r="197" spans="44:45" ht="16.5" customHeight="1" x14ac:dyDescent="0.3">
      <c r="AR197" s="17"/>
      <c r="AS197" s="17"/>
    </row>
    <row r="198" spans="44:45" ht="16.5" customHeight="1" x14ac:dyDescent="0.3">
      <c r="AR198" s="17"/>
      <c r="AS198" s="17"/>
    </row>
    <row r="199" spans="44:45" ht="16.5" customHeight="1" x14ac:dyDescent="0.3">
      <c r="AR199" s="17"/>
      <c r="AS199" s="17"/>
    </row>
    <row r="200" spans="44:45" ht="16.5" customHeight="1" x14ac:dyDescent="0.3">
      <c r="AR200" s="17"/>
      <c r="AS200" s="17"/>
    </row>
    <row r="201" spans="44:45" ht="16.5" customHeight="1" x14ac:dyDescent="0.3">
      <c r="AR201" s="17"/>
      <c r="AS201" s="17"/>
    </row>
  </sheetData>
  <autoFilter ref="A1:AX113" xr:uid="{00000000-0001-0000-0000-000000000000}"/>
  <phoneticPr fontId="5" type="noConversion"/>
  <pageMargins left="0.7" right="0.7" top="0.75" bottom="0.75" header="0.3" footer="0.3"/>
  <pageSetup paperSize="9" scale="90"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Аркуші</vt:lpstr>
      </vt:variant>
      <vt:variant>
        <vt:i4>1</vt:i4>
      </vt:variant>
      <vt:variant>
        <vt:lpstr>Іменовані діапазони</vt:lpstr>
      </vt:variant>
      <vt:variant>
        <vt:i4>1</vt:i4>
      </vt:variant>
    </vt:vector>
  </HeadingPairs>
  <TitlesOfParts>
    <vt:vector size="2" baseType="lpstr">
      <vt:lpstr>Sheet1</vt:lpstr>
      <vt:lpstr>Sheet1!Область_друку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LNorkus</dc:creator>
  <cp:lastModifiedBy>Piotr Matysiak</cp:lastModifiedBy>
  <cp:lastPrinted>2025-06-16T11:52:28Z</cp:lastPrinted>
  <dcterms:created xsi:type="dcterms:W3CDTF">2025-04-07T07:29:42Z</dcterms:created>
  <dcterms:modified xsi:type="dcterms:W3CDTF">2025-06-17T14:13:15Z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2025-03-25T11:20:39+02:00</dcterms:created>
  <dcterms:modified xsi:type="dcterms:W3CDTF">2025-03-25T11:20:39+02:00</dcterms:modified>
  <cp:revision>0</cp:revision>
</cp:coreProperties>
</file>